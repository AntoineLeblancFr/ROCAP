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ntoineleblanc/Downloads/"/>
    </mc:Choice>
  </mc:AlternateContent>
  <xr:revisionPtr revIDLastSave="0" documentId="13_ncr:1_{86004625-9848-8246-B45C-70EC33BE03BD}" xr6:coauthVersionLast="47" xr6:coauthVersionMax="47" xr10:uidLastSave="{00000000-0000-0000-0000-000000000000}"/>
  <bookViews>
    <workbookView xWindow="2940" yWindow="-21600" windowWidth="38400" windowHeight="21600" tabRatio="500" activeTab="2" xr2:uid="{00000000-000D-0000-FFFF-FFFF00000000}"/>
  </bookViews>
  <sheets>
    <sheet name="ISO27005" sheetId="1" r:id="rId1"/>
    <sheet name="NIST CSF 2.0" sheetId="2" r:id="rId2"/>
    <sheet name="Requirements" sheetId="3" r:id="rId3"/>
    <sheet name="Competency Question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4" i="2" l="1"/>
  <c r="F53" i="2"/>
  <c r="F52" i="2"/>
  <c r="F51" i="2"/>
  <c r="F50" i="2"/>
  <c r="F49" i="2"/>
  <c r="F48" i="2"/>
  <c r="F47" i="2"/>
  <c r="F46" i="2"/>
  <c r="F45" i="2"/>
  <c r="F44" i="2"/>
  <c r="F43" i="2"/>
  <c r="F41" i="2"/>
  <c r="F40" i="2"/>
  <c r="F39" i="2"/>
  <c r="F38" i="2"/>
  <c r="F37" i="2"/>
  <c r="F36" i="2"/>
  <c r="F35" i="2"/>
  <c r="F34" i="2"/>
  <c r="F33" i="2"/>
  <c r="F32" i="2"/>
  <c r="F31" i="2"/>
  <c r="F30" i="2"/>
  <c r="F29" i="2"/>
  <c r="F28" i="2"/>
  <c r="F27" i="2"/>
  <c r="F26" i="2"/>
  <c r="F25" i="2"/>
  <c r="F24" i="2"/>
  <c r="F22" i="2"/>
  <c r="F21" i="2"/>
  <c r="F20" i="2"/>
  <c r="F19" i="2"/>
  <c r="F18" i="2"/>
  <c r="F17" i="2"/>
  <c r="F16" i="2"/>
  <c r="F15" i="2"/>
  <c r="F14" i="2"/>
  <c r="F13" i="2"/>
  <c r="F11" i="2"/>
  <c r="F9" i="2"/>
  <c r="F8" i="2"/>
  <c r="F7" i="2"/>
  <c r="F6" i="2"/>
  <c r="F5" i="2"/>
  <c r="F4" i="2"/>
  <c r="F3" i="2"/>
  <c r="F2" i="2"/>
  <c r="C19" i="1"/>
  <c r="C18" i="1"/>
  <c r="C17" i="1"/>
  <c r="C16" i="1"/>
  <c r="C15" i="1"/>
  <c r="C14" i="1"/>
  <c r="C12" i="1"/>
  <c r="C11" i="1"/>
  <c r="C10" i="1"/>
  <c r="C9" i="1"/>
  <c r="C8" i="1"/>
  <c r="C7" i="1"/>
  <c r="C6" i="1"/>
  <c r="C5" i="1"/>
  <c r="C4" i="1"/>
  <c r="C3" i="1"/>
  <c r="C2" i="1"/>
</calcChain>
</file>

<file path=xl/sharedStrings.xml><?xml version="1.0" encoding="utf-8"?>
<sst xmlns="http://schemas.openxmlformats.org/spreadsheetml/2006/main" count="502" uniqueCount="292">
  <si>
    <t>Source</t>
  </si>
  <si>
    <t>Requirement</t>
  </si>
  <si>
    <t>Keep</t>
  </si>
  <si>
    <t>ISO §6</t>
  </si>
  <si>
    <t>Define the risk management con-text, boundaries, stakeholders, risk criteria and scope.</t>
  </si>
  <si>
    <t>ISO §7.2</t>
  </si>
  <si>
    <t>Identify assets (business vs supporting), threats, vulnerabilities, and risk scenarios. Represent relationships.</t>
  </si>
  <si>
    <t>ISO §7.3</t>
  </si>
  <si>
    <t>The level of risk should be deter-mined as a combi-nation of the as-sessed likelihood and the
assessed conse-quences for all relevant risk sce-narios.</t>
  </si>
  <si>
    <t>ISO §7.4</t>
  </si>
  <si>
    <t>Level of risks should be compared against risk evaluation criteria</t>
  </si>
  <si>
    <t>ISO §8</t>
  </si>
  <si>
    <t>Represent treat-ment options, control objectives, and mechanisms. Support modeling of residual risk after treatment.</t>
  </si>
  <si>
    <t>ISO §6.4.3.1</t>
  </si>
  <si>
    <t>Risk assessment criteria specify how the significance of a risk is determined in terms of its consequences,likelihood and level of risk. Information security risk assessment criteria should take into account the appropriateness of riskmanagement activities.Considerations for achieving this include:a) the classification level of information;b) the quantity, and any concentration of information;c) the strategic value of the business processes that make use of the information;d) the criticality of the information and assets related to information involved;e) operational and business importance of availability, confidentiality and integrity;f) the expectations and perceptions of interested parties (e.g. top management);g) negative consequences such as loss of goodwill and reputation;h) consistency with the organizational risk criteria.</t>
  </si>
  <si>
    <t>ISO §6.4.3.2</t>
  </si>
  <si>
    <t>Consequence criteria define how an organization categorizes the significance of potential informationsecurity events to the organization. It is essential to determine how many categories of consequencesare used, how they are defined, and what consequences are associated with each category. Usually,consequence criteria are different for different organizations depending on the organization’s internaland external context.</t>
  </si>
  <si>
    <t>ISO §6.4.3.3</t>
  </si>
  <si>
    <t>Likelihood can be expressed in probabilistic terms (the chance that an event will occur in a given timeframe) or in frequentist terms (the notional average number of occurrences in a given time frame). Thelikelihood expressed in terms related to frequency is often used when it is communicated, althoughonly the likelihood expressed in probabilistic terms can be used when aggregation of likelihoods isperformed.</t>
  </si>
  <si>
    <t>ISO §6.4.3.4</t>
  </si>
  <si>
    <t>Criteria for level of risk are necessary in order to evaluate analysed risks.Criteria for level of risk can be qualitative (e.g. very high, high, medium, low) or quantitative (e.g.expressed in terms of expected value of monetary loss, loss of lives or market share over a given periodof time).</t>
  </si>
  <si>
    <t>ISO §6.5</t>
  </si>
  <si>
    <t>According to ISO/IEC 27001:2022, 6.1.2 b), the organization in the scope of the ISMS is required toensure that repeated information security risk assessments produce consistent, valid and comparableresults. It means the chosen method should ensure the following properties of results:— consistency: assessments of the same risks performed by different persons, or by the same personson different occasions, in the same context, should produce similar results;— comparability: risk assessment criteria should be defined to ensure that assessments performed fordifferent risks produce comparable results when representing equivalent levels of risk;— validity: assessments should produce the results that accord as closely as possible with reality.</t>
  </si>
  <si>
    <t>ISO §7.2.1</t>
  </si>
  <si>
    <t>Identifying and describing information security risks. Input: Events that can negatively influence the achievement of information security objectives in theorganization or in other organizations.Action: Risks associated with the loss of confidentiality, integrity and availability of information shouldbe identified.Trigger: Risk owners, interested parties and/or experts detect, or have a need to search for, new orchanged events or situations that can affect the achievement of the information security objectives.Output: A list of identified risks.Implementation guidance:Risk identification is the process of finding, recognizing and describing risks. This involves theidentification of risk sources and events.The aim of risk identification is to generate a list of risks based on those events that can prevent, affector delay the achievement of information security objectives.The risks identified should be those that, if they materialize, can have an effect on the achievement ofthe objectives. There are two approaches commonlyused to perform risk identification.a) Event-based approach: identify strategic scenarios through a consideration of risk sources, andhow they use or impact interested parties to reach those risk’s desired objective.b) Asset-based approach: identify operational scenarios, which are detailed in terms of assets, threatsand vulnerabilities.</t>
  </si>
  <si>
    <t>ISO §7.2.2</t>
  </si>
  <si>
    <t>Identifying risk owners. Input: List of identified risks. Action: Risks should be associated to risk owners.Trigger: Identification of risk owners becomes necessary when:— it has not been done before;— there is a change in personnel in the relevant business area where the risks reside;Output: List of risk owners with associated risks.</t>
  </si>
  <si>
    <t>ISO §7.3.1</t>
  </si>
  <si>
    <t>Techniques for risk analysis based on consequences and likelihood can be:a) qualitative, using a scale of qualifying attributes (e.g. high, medium, low); orb) quantitative, using a scale with numerical values (e.g. monetary cost, frequency or probability ofoccurrence); orc) semiquantitative, using qualitative scales with assigned values.</t>
  </si>
  <si>
    <t>ISO §7.3.2</t>
  </si>
  <si>
    <t>Assessing potential consequences. Input: A list of identified relevant event or risk scenarios, including identification of risk sources, andbusiness processes, business objectives and consequence criteria. Furthermore, lists of all existingcontrols, their effectiveness, implementation and usage status. Action: The consequences resulting from the failure to adequately preserve confidentiality, integrity oravailability of information should be identified and assessed.Trigger: Assessment of the consequences becomes necessary when:— it has not been done before;— the list produced by “risk identification” is changed;— risk owners or interested parties have changed the units in which they want consequences to bespecified; or— changes in the scope or context are determined that affect consequences.Output: A list of potential consequences related to risk scenarios with their consequences related toassets or events, depending on the approach applied.</t>
  </si>
  <si>
    <t>ISO §7.3.3</t>
  </si>
  <si>
    <t>Assessing likelihood. Input: A list of identified relevant event or risk scenarios, including identification of risk sources, andbusiness processes, business objectives and likelihood criteria. Additionally, lists of all existing controls,their effectiveness, implementation and usage status.Action: The likelihood of occurrence of possible or actual scenarios should be assessed and expressedusing established likelihood criteria.Trigger: Along with consequence, assessing the likelihood is a key activity of the risk assessmentprocess when determining the level of risk.Assessment of the likelihood becomes necessary when:— it has not been done before;— changes in the scope or context are determined that can affect likelihood;— vulnerabilities are discovered in implemented controls;— control effectiveness tests/audits result in unexpected outcomes;— changes are discovered in the threat environment (e.g. new threat actors/sources).Output: A list of events or risk scenarios complemented by likelihoods that these occur.</t>
  </si>
  <si>
    <t>ISO §7.3.4</t>
  </si>
  <si>
    <t xml:space="preserve"> Determining the levels of riskNOTE This subclause relates to ISO/IEC 27001:2022, 6.1.2 d) 3).Input: A list of risk scenarios with their consequences related to assets or events and their likelihood(quantitative or qualitative).Action: The level of risk should be determined as a combination of the assessed likelihood and theassessed consequences for all relevant risk scenarios.Trigger: Determining levels of risk becomes necessary if the information security risks are to beevaluated.Output: A list of risks with level values assigned.</t>
  </si>
  <si>
    <t>ISO §7.4.1</t>
  </si>
  <si>
    <t>Comparing the results of risk analysis with the risk criteria. Input: A list of risk criteria and risks with level values assigned.Action: Level of risks should be compared against risk evaluation criteria, particularly risk acceptancecriteria.Trigger: Comparing the results of risk analysis with the risk criteria becomes necessary if theinformation security risks are to be prioritized for treatment.Output: A list of suggestions for decisions on additional actions regarding the management of risks.</t>
  </si>
  <si>
    <t>ISO §7.4.2</t>
  </si>
  <si>
    <t>Prioritizing the analysed risks for risk treatment. Input: A list of the results of risks compared with risk criteria.Action: The risks on the list should be prioritized for risk treatment, considering assessed levels of risks.Trigger: Prioritizing the analysed risks for risk treatment becomes necessary if the information securityrisks are to be treated.Output: A list of prioritized risks with risk scenarios that lead to those risks.</t>
  </si>
  <si>
    <t>Category</t>
  </si>
  <si>
    <t>Requirement number</t>
  </si>
  <si>
    <t>Identifier</t>
  </si>
  <si>
    <t>GOVERN (GV)</t>
  </si>
  <si>
    <t>/</t>
  </si>
  <si>
    <t>GV</t>
  </si>
  <si>
    <t>The organization’s cybersecurity risk management strategy, expectations, and policy are established, communicated, and monitored.</t>
  </si>
  <si>
    <t>IDENTIFY (ID)</t>
  </si>
  <si>
    <t>ID</t>
  </si>
  <si>
    <t>The organization’s current cybersecurity risks are understood.</t>
  </si>
  <si>
    <t>PROTECT (PR)</t>
  </si>
  <si>
    <t>PR</t>
  </si>
  <si>
    <t>Safeguards to manage the organization’s cybersecurity risks are used.</t>
  </si>
  <si>
    <t>DETECT (DE)</t>
  </si>
  <si>
    <t>DE</t>
  </si>
  <si>
    <t>Possible cybersecurity attacks and compromises are found and analyzed.</t>
  </si>
  <si>
    <t>RESPOND (RS)</t>
  </si>
  <si>
    <t>RS</t>
  </si>
  <si>
    <t>Actions regarding a detected cybersecurity incident are taken.</t>
  </si>
  <si>
    <t>RECOVER (RC)</t>
  </si>
  <si>
    <t>RC</t>
  </si>
  <si>
    <t>Assets and operations affected by a cybersecurity incident are restored.</t>
  </si>
  <si>
    <t>Organizational Context (OC)</t>
  </si>
  <si>
    <t>GV.OC</t>
  </si>
  <si>
    <t>Organizational Context: The circumstances surrounding the organization’s cybersecurity risk management decisions are understood.</t>
  </si>
  <si>
    <t>OC</t>
  </si>
  <si>
    <t>01</t>
  </si>
  <si>
    <t>GV.OC-01</t>
  </si>
  <si>
    <t>The organizational mission is understood and informs cybersecurity risk management.</t>
  </si>
  <si>
    <t>02</t>
  </si>
  <si>
    <t>GV.OC-02</t>
  </si>
  <si>
    <t>Internal and external stakeholders are understood, and their needs and expectations regarding cybersecurity risk management are understood and considered.</t>
  </si>
  <si>
    <t>03</t>
  </si>
  <si>
    <t>GV.OC-03</t>
  </si>
  <si>
    <t>Legal, regulatory, and contractual requirements regarding cybersecurity — including privacy and civil liberties obligations — are understood and managed.</t>
  </si>
  <si>
    <t>04</t>
  </si>
  <si>
    <t>GV.OC-04</t>
  </si>
  <si>
    <t>Critical objectives, capabilities, and services that external stakeholders depend on or expect from the organization are understood and communicated.</t>
  </si>
  <si>
    <t>05</t>
  </si>
  <si>
    <t>GV.OC-05</t>
  </si>
  <si>
    <t>Outcomes, capabilities, and services that the organization depends on are understood and communicated.</t>
  </si>
  <si>
    <t>Risk Management Strategy (RM)</t>
  </si>
  <si>
    <t>GV.RM</t>
  </si>
  <si>
    <t>Risk Management Strategy: The organization’s priorities, constraints, risk tolerance and appetite statements, and assumptions are established, communicated, and used.</t>
  </si>
  <si>
    <t>Roles, Responsibilities, and Authorities</t>
  </si>
  <si>
    <t>GV.RR</t>
  </si>
  <si>
    <t>Roles, Responsibilities, and Authorities: Cybersecurity roles, responsibilities, and authorities are established and communicated.</t>
  </si>
  <si>
    <t>Policy (PO)</t>
  </si>
  <si>
    <t>GV.PO</t>
  </si>
  <si>
    <t>Policy: Organizational cybersecurity policy is established, communicated, and enforced.</t>
  </si>
  <si>
    <t>Oversight (OV)</t>
  </si>
  <si>
    <t>GV.OV</t>
  </si>
  <si>
    <t>Oversight: Results of organization-wide cybersecurity risk management activities and performance are used to inform, improve, and adjust the strategy.</t>
  </si>
  <si>
    <t>Cybersecurity Supply Chain Risk Management (SC)</t>
  </si>
  <si>
    <t>GV.SC</t>
  </si>
  <si>
    <t>Cybersecurity Supply Chain Risk Management: Cyber supply chain risk management processes are identified, established, managed, monitored, and improved.</t>
  </si>
  <si>
    <t>Asset Management (AM)</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</si>
  <si>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</si>
  <si>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</si>
  <si>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AM</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</si>
  <si>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</si>
  <si>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</si>
  <si>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</si>
  <si>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</si>
  <si>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</si>
  <si>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</si>
  <si>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</si>
  <si>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</si>
  <si>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</si>
  <si>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</si>
  <si>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07</t>
  </si>
  <si>
    <t>ID.AM-07</t>
  </si>
  <si>
    <t>Inventories of data and corresponding metadata for designated data types are maintained</t>
  </si>
  <si>
    <t>08</t>
  </si>
  <si>
    <t>ID.AM-08</t>
  </si>
  <si>
    <t>Systems, hardware, software, services, and data are managed throughout their life cycles</t>
  </si>
  <si>
    <t>Risk Assessment (RA)</t>
  </si>
  <si>
    <t>ID.RA</t>
  </si>
  <si>
    <t>The cybersecurity risk to the organization, assets, and individualsis understood by the organization</t>
  </si>
  <si>
    <t>RA</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</si>
  <si>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</si>
  <si>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</si>
  <si>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</si>
  <si>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</si>
  <si>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</si>
  <si>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</si>
  <si>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</si>
  <si>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</si>
  <si>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</si>
  <si>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</si>
  <si>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06</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</si>
  <si>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</si>
  <si>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</si>
  <si>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</si>
  <si>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</si>
  <si>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</si>
  <si>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</si>
  <si>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09</t>
  </si>
  <si>
    <t>ID.RA-09</t>
  </si>
  <si>
    <t>The authenticity and integrity of hardware and software are assessed prior to acquisition and use</t>
  </si>
  <si>
    <t>10</t>
  </si>
  <si>
    <t>ID.RA-10</t>
  </si>
  <si>
    <t>Critical suppliers are assessed prior to acquisition</t>
  </si>
  <si>
    <t>Improvement (IM)</t>
  </si>
  <si>
    <t>ID.IM</t>
  </si>
  <si>
    <t>Improvements to organizational cybersecurity risk managementprocesses, procedures and activities are identified across all CSF Functions</t>
  </si>
  <si>
    <t>Continuous Monitoring (CM)</t>
  </si>
  <si>
    <t>DE.CM</t>
  </si>
  <si>
    <t>Assets are monitored to find anomalies, indicators of compromise, and other potentially adverse events</t>
  </si>
  <si>
    <t>Adverse Event Analysis (AE)</t>
  </si>
  <si>
    <t>DE.AE</t>
  </si>
  <si>
    <t>Anomalies, indicators of compromise, and otherpotentially adverse events are analyzed to characterize the events and detect cybersecurity
incidents</t>
  </si>
  <si>
    <t>AE</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</si>
  <si>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</si>
  <si>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</si>
  <si>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</si>
  <si>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</si>
  <si>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</si>
  <si>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</si>
  <si>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</si>
  <si>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</si>
  <si>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</si>
  <si>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</si>
  <si>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</si>
  <si>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</si>
  <si>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Incident Management (RS.MA)</t>
  </si>
  <si>
    <t>RS.MA</t>
  </si>
  <si>
    <t>Responses to detected cybersecurity incidents are managed</t>
  </si>
  <si>
    <t>Incident Analysis</t>
  </si>
  <si>
    <t>RS.AN</t>
  </si>
  <si>
    <t>Investigations are conducted to ensure effective response andsupport forensics and recovery activities</t>
  </si>
  <si>
    <t>AN</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</si>
  <si>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</si>
  <si>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</si>
  <si>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</si>
  <si>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</si>
  <si>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</si>
  <si>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</si>
  <si>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</si>
  <si>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</si>
  <si>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Incident Response Reporting and Communication (CO)</t>
  </si>
  <si>
    <t>RS.CO</t>
  </si>
  <si>
    <t>Response activities arecoordinated with internal and external stakeholders as required by laws, regulations, or
policies</t>
  </si>
  <si>
    <t>Incident Mitigation (MI)</t>
  </si>
  <si>
    <t>RS.MI</t>
  </si>
  <si>
    <t>Activities are performed to prevent expansion of an event andmitigate its effects</t>
  </si>
  <si>
    <t>Requirement ID</t>
  </si>
  <si>
    <t>Requirement (derived from standards)</t>
  </si>
  <si>
    <t>ISO/IEC 27005:2022</t>
  </si>
  <si>
    <t>NIST CSF 2.0</t>
  </si>
  <si>
    <t>Linked CQ(s)</t>
  </si>
  <si>
    <t>R1</t>
  </si>
  <si>
    <t>Context &amp; Assets</t>
  </si>
  <si>
    <t>§7.2</t>
  </si>
  <si>
    <t>CQ1</t>
  </si>
  <si>
    <t>R2</t>
  </si>
  <si>
    <t>CQ2</t>
  </si>
  <si>
    <t>R3</t>
  </si>
  <si>
    <t>CQ3</t>
  </si>
  <si>
    <t>R4</t>
  </si>
  <si>
    <t>Threat Source &amp; Intention</t>
  </si>
  <si>
    <t>§7.2.1</t>
  </si>
  <si>
    <t>CQ4</t>
  </si>
  <si>
    <t>R5</t>
  </si>
  <si>
    <t>CQ5</t>
  </si>
  <si>
    <t>R6</t>
  </si>
  <si>
    <t>Attack Plan</t>
  </si>
  <si>
    <t>ID.RA-02, DE.AE-07</t>
  </si>
  <si>
    <t>CQ6</t>
  </si>
  <si>
    <t>R7</t>
  </si>
  <si>
    <t>The ontology must support matching a partial set of observed events/techniques against candidate Attack Plans and exposing the resulting (un)ambiguity.</t>
  </si>
  <si>
    <t>DE.AE-02, DE.AE-03, RS.AN-03</t>
  </si>
  <si>
    <t>CQ7</t>
  </si>
  <si>
    <t>R8</t>
  </si>
  <si>
    <t>DE.AE-07, RS.AN-03</t>
  </si>
  <si>
    <t>CQ8</t>
  </si>
  <si>
    <t>R9</t>
  </si>
  <si>
    <t>Vulnerability</t>
  </si>
  <si>
    <t>ID.RA-01, ID.AM-01, ID.AM-02</t>
  </si>
  <si>
    <t>CQ9</t>
  </si>
  <si>
    <t>R10</t>
  </si>
  <si>
    <t>CQ10</t>
  </si>
  <si>
    <t>R11</t>
  </si>
  <si>
    <t>Impact &amp; Loss</t>
  </si>
  <si>
    <t>The ontology must represent the attack path linking ordered attack steps to negative effects on the organization’s security objectives.</t>
  </si>
  <si>
    <t>CQ11</t>
  </si>
  <si>
    <t>R12</t>
  </si>
  <si>
    <t>RS.AN-08, DE.AE-04</t>
  </si>
  <si>
    <t>CQ12</t>
  </si>
  <si>
    <t>R13</t>
  </si>
  <si>
    <t>§6.4.3.2, §7.3.2</t>
  </si>
  <si>
    <t>CQ13</t>
  </si>
  <si>
    <t>R14</t>
  </si>
  <si>
    <t>Risk Assessment</t>
  </si>
  <si>
    <t>§6.4.3.3, §7.3.3</t>
  </si>
  <si>
    <t>CQ14</t>
  </si>
  <si>
    <t>R15</t>
  </si>
  <si>
    <t>§6.4.3.4, §7.3.4</t>
  </si>
  <si>
    <t>CQ15</t>
  </si>
  <si>
    <t>Conceptual Competency Question</t>
  </si>
  <si>
    <t>Prolog query</t>
  </si>
  <si>
    <t>What are the organization’s assets, and what types do they belong to?</t>
  </si>
  <si>
    <t>What cybersecurity value characterizes a given asset?</t>
  </si>
  <si>
    <t>What dependency relationships exist between assets?</t>
  </si>
  <si>
    <t>What threat sources and actors are identified and associated?</t>
  </si>
  <si>
    <t>What capabilities, intentions, and objectives characterize an attacker?</t>
  </si>
  <si>
    <t xml:space="preserve">Attack Plan </t>
  </si>
  <si>
    <t>What attack types, techniques, and patterns compose a given plan?</t>
  </si>
  <si>
    <t>Given a partial trace, which attack plans is the adversary carrying out?</t>
  </si>
  <si>
    <t>Can identically looking attacks be distinguished by the adversary’s
goal?</t>
  </si>
  <si>
    <t>What vulnerabilities are associated with an asset?</t>
  </si>
  <si>
    <t>What vulnerabilities are exploitable by attack plans?</t>
  </si>
  <si>
    <t>What attack path could negatively influence security objectives?</t>
  </si>
  <si>
    <t>What vulnerability or threat source originates a given adverse event?</t>
  </si>
  <si>
    <t>What value components of which assets are harmed by an attack?</t>
  </si>
  <si>
    <t>What is the estimated likelihood of a specific attack scenario?</t>
  </si>
  <si>
    <t>What is the level of risk for a given risk experience?</t>
  </si>
  <si>
    <t>The ontology must represent the organization’s assets and distinguish the types they belong to.</t>
  </si>
  <si>
    <t>The ontology must represent the cybersecurity value characterizing an asset with respect to the Protected Subject’s concerns and asset criticality.</t>
  </si>
  <si>
    <t>The ontology must represent dependency relationships among assets.</t>
  </si>
  <si>
    <t>The ontology must represent threat sources and threat actors and associate them with the risks / attack plans they originate.</t>
  </si>
  <si>
    <t>The ontology must represent an Attacker’s threat capabilities, intentions and objectives as first-class entities.</t>
  </si>
  <si>
    <t>The ontology must represent the composition of an Attack Plan in terms of attack types.</t>
  </si>
  <si>
    <t>The ontology must distinguish attacks with identical observable traces by reference to the Attacker’s goal.</t>
  </si>
  <si>
    <t>The ontology must represent vulnerabilities and associate them with the assets in which they inhere.</t>
  </si>
  <si>
    <t>The ontology must represent which vulnerabilities are exploitable by which Attack Plans, and disclosed vulnerabilities.</t>
  </si>
  <si>
    <t>The ontology must support tracing an adverse event backwards to its originating vulnerability and threat source.</t>
  </si>
  <si>
    <t>The ontology must represent which value components of which assets are harmed by an attack .</t>
  </si>
  <si>
    <t>The ontology must represent the likelihood of a specific attack scenario.</t>
  </si>
  <si>
    <t>The ontology must represent the level of risk for an attack as a combination of the assessed likelihood and the assessed consequences.</t>
  </si>
  <si>
    <t>cq1(Asset, Type).</t>
  </si>
  <si>
    <t>cq2(corpData, Value).</t>
  </si>
  <si>
    <t>cq3(Sa, Ba).</t>
  </si>
  <si>
    <t>cq4(Actor, Answer).</t>
  </si>
  <si>
    <t>cq5(attacker01, Answer).</t>
  </si>
  <si>
    <t>cq6(blacksuitPlan, Answer).</t>
  </si>
  <si>
    <t>cq7([atk_driveby, atk_c2, atk_autostart], Answer). 
cq7([atk_driveby, atk_c2, atk_autostart, atk_filediscovery], Answer).</t>
  </si>
  <si>
    <t>cq8(Answer).</t>
  </si>
  <si>
    <t>cq9(emp01, Vuln).</t>
  </si>
  <si>
    <t>cq10(blacksuitPlan, Vuln).</t>
  </si>
  <si>
    <t>cq11(Attack, Le, Ls, Objective).</t>
  </si>
  <si>
    <t>cq12(le_encrypt, Origin, Source).</t>
  </si>
  <si>
    <t>cq13(atk_encrypt, Value, Asset).</t>
  </si>
  <si>
    <t>cq14(Plan, Likelihood).</t>
  </si>
  <si>
    <t>cq15(era01, Level).</t>
  </si>
  <si>
    <t xml:space="preserve">ISO §7.2 </t>
  </si>
  <si>
    <t>ID.AM-01, ID.AM-02, ID.AM-07, 
ID.AM-04</t>
  </si>
  <si>
    <t>§6.4.3.1</t>
  </si>
  <si>
    <t>ID.AM-05,
GV.OC-05</t>
  </si>
  <si>
    <t>ID.RA-04,
ID.RA-07, ID.RA-08</t>
  </si>
  <si>
    <t>RS.AN-03,
DE.AE-04</t>
  </si>
  <si>
    <t>§6.4.3.1, §6.4.3.2,
§7.2.1</t>
  </si>
  <si>
    <t>RS.AN-08, DE.AE-04,
RS.AN-03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</si>
</sst>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charset val="1"/>
    </font>
    <font>
      <sz val="10"/>
      <name val="Arial"/>
      <family val="2"/>
    </font>
    <font>
      <b/>
      <sz val="11"/>
      <color rgb="FFFFFFFF"/>
      <name val="Arial"/>
      <family val="2"/>
      <charset val="1"/>
    </font>
    <font>
      <sz val="10"/>
      <name val="Arial"/>
      <family val="2"/>
      <charset val="1"/>
    </font>
    <font>
      <b/>
      <sz val="10"/>
      <name val="Arial"/>
      <family val="2"/>
      <charset val="1"/>
    </font>
    <font>
      <b/>
      <sz val="11"/>
      <color rgb="FFFFFFFF"/>
      <name val="Arial"/>
      <family val="2"/>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theme="4" tint="0.59987182226020086"/>
        <bgColor rgb="FFBFBFBF"/>
      </patternFill>
    </fill>
  </fills>
  <borders count="29">
    <border>
      <left/>
      <right/>
      <top/>
      <bottom/>
      <diagonal/>
    </border>
    <border>
      <left style="thin">
        <color rgb="FFBFBFBF"/>
      </left>
      <right style="thin">
        <color rgb="FFBFBFBF"/>
      </right>
      <top style="thin">
        <color rgb="FFBFBFBF"/>
      </top>
      <bottom/>
      <diagonal/>
    </border>
    <border>
      <left style="thin">
        <color rgb="FFBFBFBF"/>
      </left>
      <right style="thick">
        <color theme="1"/>
      </right>
      <top style="thin">
        <color rgb="FFBFBFBF"/>
      </top>
      <bottom style="thick">
        <color theme="1"/>
      </bottom>
      <diagonal/>
    </border>
    <border>
      <left style="thick">
        <color theme="1"/>
      </left>
      <right style="medium">
        <color theme="1"/>
      </right>
      <top style="thick">
        <color theme="1"/>
      </top>
      <bottom style="thin">
        <color theme="1"/>
      </bottom>
      <diagonal/>
    </border>
    <border>
      <left style="medium">
        <color theme="1"/>
      </left>
      <right style="medium">
        <color theme="1"/>
      </right>
      <top style="thick">
        <color theme="1"/>
      </top>
      <bottom style="thin">
        <color theme="1"/>
      </bottom>
      <diagonal/>
    </border>
    <border>
      <left style="medium">
        <color theme="1"/>
      </left>
      <right style="thick">
        <color theme="1"/>
      </right>
      <top style="thick">
        <color theme="1"/>
      </top>
      <bottom style="thin">
        <color theme="1"/>
      </bottom>
      <diagonal/>
    </border>
    <border>
      <left style="thick">
        <color theme="1"/>
      </left>
      <right style="medium">
        <color theme="1"/>
      </right>
      <top style="thin">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thick">
        <color theme="1"/>
      </right>
      <top style="thin">
        <color theme="1"/>
      </top>
      <bottom style="thin">
        <color theme="1"/>
      </bottom>
      <diagonal/>
    </border>
    <border>
      <left style="thick">
        <color theme="1"/>
      </left>
      <right style="medium">
        <color theme="1"/>
      </right>
      <top style="thin">
        <color theme="1"/>
      </top>
      <bottom style="thick">
        <color theme="1"/>
      </bottom>
      <diagonal/>
    </border>
    <border>
      <left style="medium">
        <color theme="1"/>
      </left>
      <right style="medium">
        <color theme="1"/>
      </right>
      <top style="thin">
        <color theme="1"/>
      </top>
      <bottom style="thick">
        <color theme="1"/>
      </bottom>
      <diagonal/>
    </border>
    <border>
      <left style="medium">
        <color theme="1"/>
      </left>
      <right style="thick">
        <color theme="1"/>
      </right>
      <top style="thin">
        <color theme="1"/>
      </top>
      <bottom style="thick">
        <color theme="1"/>
      </bottom>
      <diagonal/>
    </border>
    <border>
      <left style="thin">
        <color rgb="FFBFBFBF"/>
      </left>
      <right style="thin">
        <color rgb="FFBFBFBF"/>
      </right>
      <top style="thin">
        <color rgb="FFBFBFBF"/>
      </top>
      <bottom style="thin">
        <color rgb="FFBFBFBF"/>
      </bottom>
      <diagonal/>
    </border>
    <border>
      <left/>
      <right style="medium">
        <color theme="1"/>
      </right>
      <top style="thick">
        <color theme="1"/>
      </top>
      <bottom style="thin">
        <color theme="1"/>
      </bottom>
      <diagonal/>
    </border>
    <border>
      <left/>
      <right style="medium">
        <color theme="1"/>
      </right>
      <top style="thin">
        <color theme="1"/>
      </top>
      <bottom style="thin">
        <color theme="1"/>
      </bottom>
      <diagonal/>
    </border>
    <border>
      <left style="thick">
        <color theme="1"/>
      </left>
      <right style="medium">
        <color theme="1"/>
      </right>
      <top style="thin">
        <color theme="1"/>
      </top>
      <bottom/>
      <diagonal/>
    </border>
    <border>
      <left/>
      <right style="medium">
        <color theme="1"/>
      </right>
      <top style="thin">
        <color theme="1"/>
      </top>
      <bottom/>
      <diagonal/>
    </border>
    <border>
      <left style="medium">
        <color theme="1"/>
      </left>
      <right style="medium">
        <color theme="1"/>
      </right>
      <top style="thin">
        <color theme="1"/>
      </top>
      <bottom/>
      <diagonal/>
    </border>
    <border>
      <left style="medium">
        <color theme="1"/>
      </left>
      <right style="thick">
        <color theme="1"/>
      </right>
      <top style="thin">
        <color theme="1"/>
      </top>
      <bottom/>
      <diagonal/>
    </border>
    <border>
      <left/>
      <right style="medium">
        <color theme="1"/>
      </right>
      <top style="thin">
        <color theme="1"/>
      </top>
      <bottom style="thick">
        <color theme="1"/>
      </bottom>
      <diagonal/>
    </border>
    <border>
      <left style="thick">
        <color theme="1"/>
      </left>
      <right style="medium">
        <color theme="1"/>
      </right>
      <top/>
      <bottom style="thin">
        <color theme="1"/>
      </bottom>
      <diagonal/>
    </border>
    <border>
      <left/>
      <right style="medium">
        <color theme="1"/>
      </right>
      <top/>
      <bottom style="thin">
        <color theme="1"/>
      </bottom>
      <diagonal/>
    </border>
    <border>
      <left style="medium">
        <color theme="1"/>
      </left>
      <right style="medium">
        <color theme="1"/>
      </right>
      <top/>
      <bottom style="thin">
        <color theme="1"/>
      </bottom>
      <diagonal/>
    </border>
    <border>
      <left style="medium">
        <color theme="1"/>
      </left>
      <right style="thick">
        <color theme="1"/>
      </right>
      <top/>
      <bottom style="thin">
        <color theme="1"/>
      </bottom>
      <diagonal/>
    </border>
    <border>
      <left style="thick">
        <color theme="1"/>
      </left>
      <right style="medium">
        <color theme="1"/>
      </right>
      <top/>
      <bottom/>
      <diagonal/>
    </border>
    <border>
      <left/>
      <right style="medium">
        <color theme="1"/>
      </right>
      <top/>
      <bottom/>
      <diagonal/>
    </border>
    <border>
      <left style="medium">
        <color theme="1"/>
      </left>
      <right style="medium">
        <color theme="1"/>
      </right>
      <top/>
      <bottom/>
      <diagonal/>
    </border>
    <border>
      <left style="medium">
        <color theme="1"/>
      </left>
      <right style="thick">
        <color theme="1"/>
      </right>
      <top/>
      <bottom/>
      <diagonal/>
    </border>
    <border>
      <left style="thin">
        <color rgb="FFBFBFBF"/>
      </left>
      <right style="thin">
        <color rgb="FFBFBFBF"/>
      </right>
      <top/>
      <bottom/>
      <diagonal/>
    </border>
  </borders>
  <cellStyleXfs count="1">
    <xf numFmtId="0" fontId="0" fillId="0" borderId="0"/>
  </cellStyleXfs>
  <cellXfs count="69">
    <xf numFmtId="0" fontId="0" fillId="0" borderId="0" xfId="0"/>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5" xfId="0" applyFont="1" applyBorder="1" applyAlignment="1">
      <alignment horizontal="center" vertical="center"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horizontal="center" vertical="center"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horizontal="center" vertical="center" wrapText="1"/>
    </xf>
    <xf numFmtId="0" fontId="3" fillId="0" borderId="12" xfId="0" applyFont="1" applyBorder="1" applyAlignment="1">
      <alignment vertical="top" wrapText="1"/>
    </xf>
    <xf numFmtId="0" fontId="2" fillId="2" borderId="3" xfId="0" applyFont="1" applyFill="1" applyBorder="1" applyAlignment="1">
      <alignment vertical="top" wrapText="1"/>
    </xf>
    <xf numFmtId="0" fontId="2" fillId="2" borderId="13" xfId="0" applyFont="1" applyFill="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horizontal="left" vertical="top" wrapText="1"/>
    </xf>
    <xf numFmtId="0" fontId="4" fillId="0" borderId="6" xfId="0" applyFont="1" applyBorder="1" applyAlignment="1">
      <alignment vertical="top" wrapText="1"/>
    </xf>
    <xf numFmtId="0" fontId="4" fillId="0" borderId="14" xfId="0" applyFont="1" applyBorder="1" applyAlignment="1">
      <alignment horizontal="center" vertical="center" wrapText="1"/>
    </xf>
    <xf numFmtId="0" fontId="4" fillId="0" borderId="7" xfId="0" applyFont="1" applyBorder="1" applyAlignment="1">
      <alignment vertical="top" wrapText="1"/>
    </xf>
    <xf numFmtId="0" fontId="4" fillId="0" borderId="15" xfId="0" applyFont="1" applyBorder="1" applyAlignment="1">
      <alignment vertical="top" wrapText="1"/>
    </xf>
    <xf numFmtId="0" fontId="4" fillId="0" borderId="16" xfId="0" applyFont="1" applyBorder="1" applyAlignment="1">
      <alignment horizontal="center" vertical="center" wrapText="1"/>
    </xf>
    <xf numFmtId="0" fontId="4" fillId="0" borderId="17" xfId="0" applyFont="1" applyBorder="1" applyAlignment="1">
      <alignment vertical="top" wrapText="1"/>
    </xf>
    <xf numFmtId="0" fontId="3" fillId="0" borderId="18" xfId="0" applyFont="1" applyBorder="1" applyAlignment="1">
      <alignment horizontal="center" vertical="center" wrapText="1"/>
    </xf>
    <xf numFmtId="0" fontId="4" fillId="0" borderId="9" xfId="0" applyFont="1" applyBorder="1" applyAlignment="1">
      <alignment vertical="top" wrapText="1"/>
    </xf>
    <xf numFmtId="0" fontId="4" fillId="0" borderId="19" xfId="0" applyFont="1" applyBorder="1" applyAlignment="1">
      <alignment horizontal="center" vertical="center" wrapText="1"/>
    </xf>
    <xf numFmtId="0" fontId="4" fillId="0" borderId="10" xfId="0" applyFont="1" applyBorder="1" applyAlignment="1">
      <alignment vertical="top" wrapText="1"/>
    </xf>
    <xf numFmtId="0" fontId="3" fillId="3" borderId="3"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4" xfId="0" applyFont="1" applyFill="1" applyBorder="1" applyAlignment="1">
      <alignment vertical="top" wrapText="1"/>
    </xf>
    <xf numFmtId="0" fontId="3" fillId="3"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14" xfId="0" applyFont="1" applyBorder="1" applyAlignment="1">
      <alignment horizontal="center" vertical="center" wrapText="1"/>
    </xf>
    <xf numFmtId="49" fontId="3" fillId="0" borderId="14" xfId="0" applyNumberFormat="1" applyFont="1" applyBorder="1" applyAlignment="1">
      <alignment horizontal="center" vertical="center" wrapText="1"/>
    </xf>
    <xf numFmtId="0" fontId="3" fillId="3" borderId="6"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7" xfId="0" applyFont="1" applyFill="1" applyBorder="1" applyAlignment="1">
      <alignment vertical="top"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10" xfId="0" applyFont="1" applyFill="1" applyBorder="1" applyAlignment="1">
      <alignment vertical="top" wrapText="1"/>
    </xf>
    <xf numFmtId="0" fontId="3" fillId="3" borderId="11"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vertical="top" wrapText="1"/>
    </xf>
    <xf numFmtId="0" fontId="3" fillId="3" borderId="23" xfId="0" applyFont="1" applyFill="1" applyBorder="1" applyAlignment="1">
      <alignment horizontal="center" vertical="center" wrapText="1"/>
    </xf>
    <xf numFmtId="49" fontId="3" fillId="3" borderId="14" xfId="0" applyNumberFormat="1" applyFont="1" applyFill="1" applyBorder="1" applyAlignment="1">
      <alignment horizontal="center" vertical="center" wrapText="1"/>
    </xf>
    <xf numFmtId="49" fontId="3" fillId="3" borderId="19" xfId="0" applyNumberFormat="1"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25" xfId="0" applyFont="1" applyFill="1" applyBorder="1" applyAlignment="1">
      <alignment horizontal="center" vertical="center" wrapText="1"/>
    </xf>
    <xf numFmtId="49" fontId="3" fillId="3" borderId="25" xfId="0" applyNumberFormat="1" applyFont="1" applyFill="1" applyBorder="1" applyAlignment="1">
      <alignment horizontal="center" vertical="center" wrapText="1"/>
    </xf>
    <xf numFmtId="0" fontId="3" fillId="3" borderId="26" xfId="0" applyFont="1" applyFill="1" applyBorder="1" applyAlignment="1">
      <alignment vertical="top" wrapText="1"/>
    </xf>
    <xf numFmtId="0" fontId="3" fillId="3" borderId="27" xfId="0"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49" fontId="3" fillId="0" borderId="21" xfId="0" applyNumberFormat="1" applyFont="1" applyBorder="1" applyAlignment="1">
      <alignment horizontal="center" vertical="center" wrapText="1"/>
    </xf>
    <xf numFmtId="0" fontId="3" fillId="0" borderId="22" xfId="0" applyFont="1" applyBorder="1" applyAlignment="1">
      <alignment vertical="top" wrapText="1"/>
    </xf>
    <xf numFmtId="0" fontId="3" fillId="0" borderId="2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49" fontId="3" fillId="0" borderId="16" xfId="0" applyNumberFormat="1" applyFont="1" applyBorder="1" applyAlignment="1">
      <alignment horizontal="center" vertical="center" wrapText="1"/>
    </xf>
    <xf numFmtId="0" fontId="3" fillId="0" borderId="17" xfId="0" applyFont="1" applyBorder="1" applyAlignment="1">
      <alignment vertical="top" wrapText="1"/>
    </xf>
    <xf numFmtId="0" fontId="5" fillId="2" borderId="12" xfId="0" applyFont="1" applyFill="1" applyBorder="1" applyAlignment="1">
      <alignment horizontal="center" vertical="top" wrapText="1"/>
    </xf>
    <xf numFmtId="0" fontId="6" fillId="0" borderId="12" xfId="0" applyFont="1" applyBorder="1" applyAlignment="1">
      <alignment horizontal="center" vertical="top" wrapText="1"/>
    </xf>
    <xf numFmtId="0" fontId="6" fillId="0" borderId="12" xfId="0" applyFont="1" applyBorder="1" applyAlignment="1">
      <alignment vertical="top" wrapText="1"/>
    </xf>
    <xf numFmtId="0" fontId="2" fillId="2"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1" fillId="0" borderId="12" xfId="0" applyFont="1" applyBorder="1" applyAlignment="1">
      <alignment vertical="top" wrapText="1"/>
    </xf>
    <xf numFmtId="0" fontId="3" fillId="0" borderId="28"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opLeftCell="A9" zoomScale="159" zoomScaleNormal="159" workbookViewId="0">
      <selection activeCell="D13" sqref="D13"/>
    </sheetView>
  </sheetViews>
  <sheetFormatPr baseColWidth="10" defaultColWidth="8.6640625" defaultRowHeight="16" x14ac:dyDescent="0.2"/>
  <cols>
    <col min="1" max="1" width="22" customWidth="1"/>
    <col min="2" max="2" width="95" customWidth="1"/>
    <col min="3" max="3" width="10" customWidth="1"/>
  </cols>
  <sheetData>
    <row r="1" spans="1:3" ht="16.5" customHeight="1" x14ac:dyDescent="0.2">
      <c r="A1" s="1" t="s">
        <v>0</v>
      </c>
      <c r="B1" s="1" t="s">
        <v>1</v>
      </c>
      <c r="C1" s="2" t="s">
        <v>2</v>
      </c>
    </row>
    <row r="2" spans="1:3" ht="16.5" customHeight="1" x14ac:dyDescent="0.2">
      <c r="A2" s="3" t="s">
        <v>3</v>
      </c>
      <c r="B2" s="4" t="s">
        <v>4</v>
      </c>
      <c r="C2" s="5" t="b">
        <f>TRUE()</f>
        <v>1</v>
      </c>
    </row>
    <row r="3" spans="1:3" x14ac:dyDescent="0.2">
      <c r="A3" s="6" t="s">
        <v>5</v>
      </c>
      <c r="B3" s="7" t="s">
        <v>6</v>
      </c>
      <c r="C3" s="8" t="b">
        <f>TRUE()</f>
        <v>1</v>
      </c>
    </row>
    <row r="4" spans="1:3" ht="27.75" customHeight="1" x14ac:dyDescent="0.2">
      <c r="A4" s="6" t="s">
        <v>7</v>
      </c>
      <c r="B4" s="7" t="s">
        <v>8</v>
      </c>
      <c r="C4" s="8" t="b">
        <f>TRUE()</f>
        <v>1</v>
      </c>
    </row>
    <row r="5" spans="1:3" x14ac:dyDescent="0.2">
      <c r="A5" s="6" t="s">
        <v>9</v>
      </c>
      <c r="B5" s="7" t="s">
        <v>10</v>
      </c>
      <c r="C5" s="8" t="b">
        <f>FALSE()</f>
        <v>0</v>
      </c>
    </row>
    <row r="6" spans="1:3" ht="16.5" customHeight="1" x14ac:dyDescent="0.2">
      <c r="A6" s="9" t="s">
        <v>11</v>
      </c>
      <c r="B6" s="10" t="s">
        <v>12</v>
      </c>
      <c r="C6" s="11" t="b">
        <f>FALSE()</f>
        <v>0</v>
      </c>
    </row>
    <row r="7" spans="1:3" ht="112.5" customHeight="1" x14ac:dyDescent="0.2">
      <c r="A7" s="6" t="s">
        <v>13</v>
      </c>
      <c r="B7" s="7" t="s">
        <v>14</v>
      </c>
      <c r="C7" s="8" t="b">
        <f>TRUE()</f>
        <v>1</v>
      </c>
    </row>
    <row r="8" spans="1:3" ht="55.5" customHeight="1" x14ac:dyDescent="0.2">
      <c r="A8" s="6" t="s">
        <v>15</v>
      </c>
      <c r="B8" s="7" t="s">
        <v>16</v>
      </c>
      <c r="C8" s="8" t="b">
        <f>TRUE()</f>
        <v>1</v>
      </c>
    </row>
    <row r="9" spans="1:3" ht="55.5" customHeight="1" x14ac:dyDescent="0.2">
      <c r="A9" s="6" t="s">
        <v>17</v>
      </c>
      <c r="B9" s="7" t="s">
        <v>18</v>
      </c>
      <c r="C9" s="8" t="b">
        <f>TRUE()</f>
        <v>1</v>
      </c>
    </row>
    <row r="10" spans="1:3" ht="42" customHeight="1" x14ac:dyDescent="0.2">
      <c r="A10" s="6" t="s">
        <v>19</v>
      </c>
      <c r="B10" s="7" t="s">
        <v>20</v>
      </c>
      <c r="C10" s="8" t="b">
        <f>TRUE()</f>
        <v>1</v>
      </c>
    </row>
    <row r="11" spans="1:3" ht="97.5" customHeight="1" x14ac:dyDescent="0.2">
      <c r="A11" s="6" t="s">
        <v>21</v>
      </c>
      <c r="B11" s="7" t="s">
        <v>22</v>
      </c>
      <c r="C11" s="8" t="b">
        <f>FALSE()</f>
        <v>0</v>
      </c>
    </row>
    <row r="12" spans="1:3" ht="168" customHeight="1" x14ac:dyDescent="0.2">
      <c r="A12" s="6" t="s">
        <v>23</v>
      </c>
      <c r="B12" s="7" t="s">
        <v>24</v>
      </c>
      <c r="C12" s="8" t="b">
        <f>TRUE()</f>
        <v>1</v>
      </c>
    </row>
    <row r="13" spans="1:3" ht="42" customHeight="1" x14ac:dyDescent="0.2">
      <c r="A13" s="6" t="s">
        <v>25</v>
      </c>
      <c r="B13" s="7" t="s">
        <v>26</v>
      </c>
      <c r="C13" s="8" t="b">
        <v>0</v>
      </c>
    </row>
    <row r="14" spans="1:3" ht="42" customHeight="1" x14ac:dyDescent="0.2">
      <c r="A14" s="6" t="s">
        <v>27</v>
      </c>
      <c r="B14" s="7" t="s">
        <v>28</v>
      </c>
      <c r="C14" s="8" t="b">
        <f>FALSE()</f>
        <v>0</v>
      </c>
    </row>
    <row r="15" spans="1:3" ht="126" customHeight="1" x14ac:dyDescent="0.2">
      <c r="A15" s="6" t="s">
        <v>29</v>
      </c>
      <c r="B15" s="7" t="s">
        <v>30</v>
      </c>
      <c r="C15" s="8" t="b">
        <f>TRUE()</f>
        <v>1</v>
      </c>
    </row>
    <row r="16" spans="1:3" ht="126" customHeight="1" x14ac:dyDescent="0.2">
      <c r="A16" s="6" t="s">
        <v>31</v>
      </c>
      <c r="B16" s="7" t="s">
        <v>32</v>
      </c>
      <c r="C16" s="8" t="b">
        <f>TRUE()</f>
        <v>1</v>
      </c>
    </row>
    <row r="17" spans="1:3" ht="69.75" customHeight="1" x14ac:dyDescent="0.2">
      <c r="A17" s="6" t="s">
        <v>33</v>
      </c>
      <c r="B17" s="7" t="s">
        <v>34</v>
      </c>
      <c r="C17" s="8" t="b">
        <f>TRUE()</f>
        <v>1</v>
      </c>
    </row>
    <row r="18" spans="1:3" ht="69.75" customHeight="1" x14ac:dyDescent="0.2">
      <c r="A18" s="6" t="s">
        <v>35</v>
      </c>
      <c r="B18" s="7" t="s">
        <v>36</v>
      </c>
      <c r="C18" s="8" t="b">
        <f>FALSE()</f>
        <v>0</v>
      </c>
    </row>
    <row r="19" spans="1:3" ht="57" customHeight="1" x14ac:dyDescent="0.2">
      <c r="A19" s="9" t="s">
        <v>37</v>
      </c>
      <c r="B19" s="10" t="s">
        <v>38</v>
      </c>
      <c r="C19" s="11" t="b">
        <f>FALSE()</f>
        <v>0</v>
      </c>
    </row>
    <row r="20" spans="1:3" ht="16.5" customHeight="1" x14ac:dyDescent="0.2">
      <c r="A20" s="12"/>
      <c r="B20" s="12"/>
      <c r="C20" s="12"/>
    </row>
    <row r="21" spans="1:3" x14ac:dyDescent="0.2">
      <c r="A21" s="12"/>
      <c r="B21" s="12"/>
      <c r="C21" s="12"/>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5"/>
  <sheetViews>
    <sheetView zoomScale="115" zoomScaleNormal="115" workbookViewId="0">
      <selection activeCell="E12" sqref="E12"/>
    </sheetView>
  </sheetViews>
  <sheetFormatPr baseColWidth="10" defaultColWidth="8.6640625" defaultRowHeight="16" x14ac:dyDescent="0.2"/>
  <cols>
    <col min="1" max="1" width="14.1640625" customWidth="1"/>
    <col min="2" max="2" width="13.5" customWidth="1"/>
    <col min="3" max="3" width="13" customWidth="1"/>
    <col min="4" max="4" width="9.83203125" customWidth="1"/>
    <col min="5" max="5" width="48.1640625" customWidth="1"/>
  </cols>
  <sheetData>
    <row r="1" spans="1:6" ht="30.75" customHeight="1" x14ac:dyDescent="0.2">
      <c r="A1" s="13" t="s">
        <v>0</v>
      </c>
      <c r="B1" s="14" t="s">
        <v>39</v>
      </c>
      <c r="C1" s="14" t="s">
        <v>40</v>
      </c>
      <c r="D1" s="14" t="s">
        <v>41</v>
      </c>
      <c r="E1" s="15" t="s">
        <v>1</v>
      </c>
      <c r="F1" s="16" t="s">
        <v>2</v>
      </c>
    </row>
    <row r="2" spans="1:6" ht="42" customHeight="1" x14ac:dyDescent="0.2">
      <c r="A2" s="17" t="s">
        <v>42</v>
      </c>
      <c r="B2" s="18" t="s">
        <v>43</v>
      </c>
      <c r="C2" s="18" t="s">
        <v>43</v>
      </c>
      <c r="D2" s="18" t="s">
        <v>44</v>
      </c>
      <c r="E2" s="19" t="s">
        <v>45</v>
      </c>
      <c r="F2" s="8" t="b">
        <f>TRUE()</f>
        <v>1</v>
      </c>
    </row>
    <row r="3" spans="1:6" ht="27.75" customHeight="1" x14ac:dyDescent="0.2">
      <c r="A3" s="17" t="s">
        <v>46</v>
      </c>
      <c r="B3" s="18" t="s">
        <v>43</v>
      </c>
      <c r="C3" s="18" t="s">
        <v>43</v>
      </c>
      <c r="D3" s="18" t="s">
        <v>47</v>
      </c>
      <c r="E3" s="19" t="s">
        <v>48</v>
      </c>
      <c r="F3" s="8" t="b">
        <f>TRUE()</f>
        <v>1</v>
      </c>
    </row>
    <row r="4" spans="1:6" ht="27.75" customHeight="1" x14ac:dyDescent="0.2">
      <c r="A4" s="17" t="s">
        <v>49</v>
      </c>
      <c r="B4" s="18" t="s">
        <v>43</v>
      </c>
      <c r="C4" s="18" t="s">
        <v>43</v>
      </c>
      <c r="D4" s="18" t="s">
        <v>50</v>
      </c>
      <c r="E4" s="19" t="s">
        <v>51</v>
      </c>
      <c r="F4" s="8" t="b">
        <f>FALSE()</f>
        <v>0</v>
      </c>
    </row>
    <row r="5" spans="1:6" ht="27.75" customHeight="1" x14ac:dyDescent="0.2">
      <c r="A5" s="17" t="s">
        <v>52</v>
      </c>
      <c r="B5" s="18" t="s">
        <v>43</v>
      </c>
      <c r="C5" s="18" t="s">
        <v>43</v>
      </c>
      <c r="D5" s="18" t="s">
        <v>53</v>
      </c>
      <c r="E5" s="19" t="s">
        <v>54</v>
      </c>
      <c r="F5" s="8" t="b">
        <f>TRUE()</f>
        <v>1</v>
      </c>
    </row>
    <row r="6" spans="1:6" ht="27.75" customHeight="1" x14ac:dyDescent="0.2">
      <c r="A6" s="20" t="s">
        <v>55</v>
      </c>
      <c r="B6" s="21" t="s">
        <v>43</v>
      </c>
      <c r="C6" s="21" t="s">
        <v>43</v>
      </c>
      <c r="D6" s="21" t="s">
        <v>56</v>
      </c>
      <c r="E6" s="22" t="s">
        <v>57</v>
      </c>
      <c r="F6" s="23" t="b">
        <f>TRUE()</f>
        <v>1</v>
      </c>
    </row>
    <row r="7" spans="1:6" ht="28.5" customHeight="1" x14ac:dyDescent="0.2">
      <c r="A7" s="24" t="s">
        <v>58</v>
      </c>
      <c r="B7" s="25" t="s">
        <v>43</v>
      </c>
      <c r="C7" s="25" t="s">
        <v>43</v>
      </c>
      <c r="D7" s="25" t="s">
        <v>59</v>
      </c>
      <c r="E7" s="26" t="s">
        <v>60</v>
      </c>
      <c r="F7" s="11" t="b">
        <f>FALSE()</f>
        <v>0</v>
      </c>
    </row>
    <row r="8" spans="1:6" ht="42.75" customHeight="1" x14ac:dyDescent="0.2">
      <c r="A8" s="27" t="s">
        <v>44</v>
      </c>
      <c r="B8" s="28" t="s">
        <v>61</v>
      </c>
      <c r="C8" s="28" t="s">
        <v>43</v>
      </c>
      <c r="D8" s="28" t="s">
        <v>62</v>
      </c>
      <c r="E8" s="29" t="s">
        <v>63</v>
      </c>
      <c r="F8" s="30" t="b">
        <f>TRUE()</f>
        <v>1</v>
      </c>
    </row>
    <row r="9" spans="1:6" ht="27.75" customHeight="1" x14ac:dyDescent="0.2">
      <c r="A9" s="31" t="s">
        <v>44</v>
      </c>
      <c r="B9" s="32" t="s">
        <v>64</v>
      </c>
      <c r="C9" s="33" t="s">
        <v>65</v>
      </c>
      <c r="D9" s="31" t="s">
        <v>66</v>
      </c>
      <c r="E9" s="7" t="s">
        <v>67</v>
      </c>
      <c r="F9" s="8" t="b">
        <f>FALSE()</f>
        <v>0</v>
      </c>
    </row>
    <row r="10" spans="1:6" ht="42" customHeight="1" x14ac:dyDescent="0.2">
      <c r="A10" s="31" t="s">
        <v>44</v>
      </c>
      <c r="B10" s="32" t="s">
        <v>64</v>
      </c>
      <c r="C10" s="33" t="s">
        <v>68</v>
      </c>
      <c r="D10" s="31" t="s">
        <v>69</v>
      </c>
      <c r="E10" s="7" t="s">
        <v>70</v>
      </c>
      <c r="F10" s="8" t="b">
        <v>0</v>
      </c>
    </row>
    <row r="11" spans="1:6" ht="42" customHeight="1" x14ac:dyDescent="0.2">
      <c r="A11" s="31" t="s">
        <v>44</v>
      </c>
      <c r="B11" s="32" t="s">
        <v>64</v>
      </c>
      <c r="C11" s="33" t="s">
        <v>71</v>
      </c>
      <c r="D11" s="31" t="s">
        <v>72</v>
      </c>
      <c r="E11" s="7" t="s">
        <v>73</v>
      </c>
      <c r="F11" s="8" t="b">
        <f>FALSE()</f>
        <v>0</v>
      </c>
    </row>
    <row r="12" spans="1:6" ht="42" customHeight="1" x14ac:dyDescent="0.2">
      <c r="A12" s="31" t="s">
        <v>44</v>
      </c>
      <c r="B12" s="32" t="s">
        <v>64</v>
      </c>
      <c r="C12" s="33" t="s">
        <v>74</v>
      </c>
      <c r="D12" s="31" t="s">
        <v>75</v>
      </c>
      <c r="E12" s="7" t="s">
        <v>76</v>
      </c>
      <c r="F12" s="8" t="b">
        <v>0</v>
      </c>
    </row>
    <row r="13" spans="1:6" ht="27.75" customHeight="1" x14ac:dyDescent="0.2">
      <c r="A13" s="31" t="s">
        <v>44</v>
      </c>
      <c r="B13" s="32" t="s">
        <v>64</v>
      </c>
      <c r="C13" s="33" t="s">
        <v>77</v>
      </c>
      <c r="D13" s="31" t="s">
        <v>78</v>
      </c>
      <c r="E13" s="7" t="s">
        <v>79</v>
      </c>
      <c r="F13" s="8" t="b">
        <f>TRUE()</f>
        <v>1</v>
      </c>
    </row>
    <row r="14" spans="1:6" ht="42" customHeight="1" x14ac:dyDescent="0.2">
      <c r="A14" s="34" t="s">
        <v>44</v>
      </c>
      <c r="B14" s="35" t="s">
        <v>80</v>
      </c>
      <c r="C14" s="35" t="s">
        <v>43</v>
      </c>
      <c r="D14" s="34" t="s">
        <v>81</v>
      </c>
      <c r="E14" s="36" t="s">
        <v>82</v>
      </c>
      <c r="F14" s="37" t="b">
        <f>FALSE()</f>
        <v>0</v>
      </c>
    </row>
    <row r="15" spans="1:6" ht="42" customHeight="1" x14ac:dyDescent="0.2">
      <c r="A15" s="34" t="s">
        <v>44</v>
      </c>
      <c r="B15" s="35" t="s">
        <v>83</v>
      </c>
      <c r="C15" s="35" t="s">
        <v>43</v>
      </c>
      <c r="D15" s="34" t="s">
        <v>84</v>
      </c>
      <c r="E15" s="36" t="s">
        <v>85</v>
      </c>
      <c r="F15" s="37" t="b">
        <f>FALSE()</f>
        <v>0</v>
      </c>
    </row>
    <row r="16" spans="1:6" ht="27.75" customHeight="1" x14ac:dyDescent="0.2">
      <c r="A16" s="34" t="s">
        <v>44</v>
      </c>
      <c r="B16" s="35" t="s">
        <v>86</v>
      </c>
      <c r="C16" s="35" t="s">
        <v>43</v>
      </c>
      <c r="D16" s="34" t="s">
        <v>87</v>
      </c>
      <c r="E16" s="36" t="s">
        <v>88</v>
      </c>
      <c r="F16" s="37" t="b">
        <f>FALSE()</f>
        <v>0</v>
      </c>
    </row>
    <row r="17" spans="1:6" ht="42" customHeight="1" x14ac:dyDescent="0.2">
      <c r="A17" s="34" t="s">
        <v>44</v>
      </c>
      <c r="B17" s="35" t="s">
        <v>89</v>
      </c>
      <c r="C17" s="35" t="s">
        <v>43</v>
      </c>
      <c r="D17" s="34" t="s">
        <v>90</v>
      </c>
      <c r="E17" s="36" t="s">
        <v>91</v>
      </c>
      <c r="F17" s="37" t="b">
        <f>FALSE()</f>
        <v>0</v>
      </c>
    </row>
    <row r="18" spans="1:6" ht="70.5" customHeight="1" x14ac:dyDescent="0.2">
      <c r="A18" s="38" t="s">
        <v>44</v>
      </c>
      <c r="B18" s="39" t="s">
        <v>92</v>
      </c>
      <c r="C18" s="39" t="s">
        <v>43</v>
      </c>
      <c r="D18" s="38" t="s">
        <v>93</v>
      </c>
      <c r="E18" s="40" t="s">
        <v>94</v>
      </c>
      <c r="F18" s="41" t="b">
        <f>FALSE()</f>
        <v>0</v>
      </c>
    </row>
    <row r="19" spans="1:6" ht="84.75" customHeight="1" x14ac:dyDescent="0.2">
      <c r="A19" s="42" t="s">
        <v>47</v>
      </c>
      <c r="B19" s="43" t="s">
        <v>95</v>
      </c>
      <c r="C19" s="43" t="s">
        <v>43</v>
      </c>
      <c r="D19" s="42" t="s">
        <v>96</v>
      </c>
      <c r="E19" s="44" t="s">
        <v>97</v>
      </c>
      <c r="F19" s="45" t="b">
        <f>TRUE()</f>
        <v>1</v>
      </c>
    </row>
    <row r="20" spans="1:6" ht="27.75" customHeight="1" x14ac:dyDescent="0.2">
      <c r="A20" s="31" t="s">
        <v>47</v>
      </c>
      <c r="B20" s="32" t="s">
        <v>98</v>
      </c>
      <c r="C20" s="33" t="s">
        <v>65</v>
      </c>
      <c r="D20" s="31" t="s">
        <v>99</v>
      </c>
      <c r="E20" s="7" t="s">
        <v>100</v>
      </c>
      <c r="F20" s="8" t="b">
        <f>TRUE()</f>
        <v>1</v>
      </c>
    </row>
    <row r="21" spans="1:6" ht="27.75" customHeight="1" x14ac:dyDescent="0.2">
      <c r="A21" s="31" t="s">
        <v>47</v>
      </c>
      <c r="B21" s="32" t="s">
        <v>98</v>
      </c>
      <c r="C21" s="33" t="s">
        <v>68</v>
      </c>
      <c r="D21" s="31" t="s">
        <v>101</v>
      </c>
      <c r="E21" s="7" t="s">
        <v>102</v>
      </c>
      <c r="F21" s="8" t="b">
        <f>TRUE()</f>
        <v>1</v>
      </c>
    </row>
    <row r="22" spans="1:6" ht="42" customHeight="1" x14ac:dyDescent="0.2">
      <c r="A22" s="31" t="s">
        <v>47</v>
      </c>
      <c r="B22" s="32" t="s">
        <v>98</v>
      </c>
      <c r="C22" s="33" t="s">
        <v>71</v>
      </c>
      <c r="D22" s="31" t="s">
        <v>103</v>
      </c>
      <c r="E22" s="7" t="s">
        <v>104</v>
      </c>
      <c r="F22" s="8" t="b">
        <f>TRUE()</f>
        <v>1</v>
      </c>
    </row>
    <row r="23" spans="1:6" ht="27.75" customHeight="1" x14ac:dyDescent="0.2">
      <c r="A23" s="31" t="s">
        <v>47</v>
      </c>
      <c r="B23" s="32" t="s">
        <v>98</v>
      </c>
      <c r="C23" s="33" t="s">
        <v>74</v>
      </c>
      <c r="D23" s="31" t="s">
        <v>105</v>
      </c>
      <c r="E23" s="7" t="s">
        <v>106</v>
      </c>
      <c r="F23" s="8" t="b">
        <v>0</v>
      </c>
    </row>
    <row r="24" spans="1:6" ht="27.75" customHeight="1" x14ac:dyDescent="0.2">
      <c r="A24" s="31" t="s">
        <v>47</v>
      </c>
      <c r="B24" s="32" t="s">
        <v>98</v>
      </c>
      <c r="C24" s="33" t="s">
        <v>77</v>
      </c>
      <c r="D24" s="31" t="s">
        <v>107</v>
      </c>
      <c r="E24" s="7" t="s">
        <v>108</v>
      </c>
      <c r="F24" s="8" t="b">
        <f>TRUE()</f>
        <v>1</v>
      </c>
    </row>
    <row r="25" spans="1:6" ht="27.75" customHeight="1" x14ac:dyDescent="0.2">
      <c r="A25" s="31" t="s">
        <v>47</v>
      </c>
      <c r="B25" s="32" t="s">
        <v>98</v>
      </c>
      <c r="C25" s="33" t="s">
        <v>109</v>
      </c>
      <c r="D25" s="31" t="s">
        <v>110</v>
      </c>
      <c r="E25" s="7" t="s">
        <v>111</v>
      </c>
      <c r="F25" s="8" t="b">
        <f>TRUE()</f>
        <v>1</v>
      </c>
    </row>
    <row r="26" spans="1:6" ht="27.75" customHeight="1" x14ac:dyDescent="0.2">
      <c r="A26" s="31" t="s">
        <v>47</v>
      </c>
      <c r="B26" s="32" t="s">
        <v>98</v>
      </c>
      <c r="C26" s="33" t="s">
        <v>112</v>
      </c>
      <c r="D26" s="31" t="s">
        <v>113</v>
      </c>
      <c r="E26" s="7" t="s">
        <v>114</v>
      </c>
      <c r="F26" s="8" t="b">
        <f>FALSE()</f>
        <v>0</v>
      </c>
    </row>
    <row r="27" spans="1:6" ht="42" customHeight="1" x14ac:dyDescent="0.2">
      <c r="A27" s="34" t="s">
        <v>47</v>
      </c>
      <c r="B27" s="35" t="s">
        <v>115</v>
      </c>
      <c r="C27" s="46" t="s">
        <v>43</v>
      </c>
      <c r="D27" s="34" t="s">
        <v>116</v>
      </c>
      <c r="E27" s="36" t="s">
        <v>117</v>
      </c>
      <c r="F27" s="37" t="b">
        <f>TRUE()</f>
        <v>1</v>
      </c>
    </row>
    <row r="28" spans="1:6" ht="27.75" customHeight="1" x14ac:dyDescent="0.2">
      <c r="A28" s="31" t="s">
        <v>47</v>
      </c>
      <c r="B28" s="32" t="s">
        <v>118</v>
      </c>
      <c r="C28" s="33" t="s">
        <v>65</v>
      </c>
      <c r="D28" s="31" t="s">
        <v>119</v>
      </c>
      <c r="E28" s="7" t="s">
        <v>120</v>
      </c>
      <c r="F28" s="8" t="b">
        <f>TRUE()</f>
        <v>1</v>
      </c>
    </row>
    <row r="29" spans="1:6" ht="27.75" customHeight="1" x14ac:dyDescent="0.2">
      <c r="A29" s="31" t="s">
        <v>47</v>
      </c>
      <c r="B29" s="32" t="s">
        <v>118</v>
      </c>
      <c r="C29" s="33" t="s">
        <v>68</v>
      </c>
      <c r="D29" s="31" t="s">
        <v>121</v>
      </c>
      <c r="E29" s="7" t="s">
        <v>122</v>
      </c>
      <c r="F29" s="8" t="b">
        <f>TRUE()</f>
        <v>1</v>
      </c>
    </row>
    <row r="30" spans="1:6" ht="27.75" customHeight="1" x14ac:dyDescent="0.2">
      <c r="A30" s="31" t="s">
        <v>47</v>
      </c>
      <c r="B30" s="32" t="s">
        <v>118</v>
      </c>
      <c r="C30" s="33" t="s">
        <v>71</v>
      </c>
      <c r="D30" s="31" t="s">
        <v>123</v>
      </c>
      <c r="E30" s="7" t="s">
        <v>124</v>
      </c>
      <c r="F30" s="8" t="b">
        <f>TRUE()</f>
        <v>1</v>
      </c>
    </row>
    <row r="31" spans="1:6" ht="27.75" customHeight="1" x14ac:dyDescent="0.2">
      <c r="A31" s="31" t="s">
        <v>47</v>
      </c>
      <c r="B31" s="32" t="s">
        <v>118</v>
      </c>
      <c r="C31" s="33" t="s">
        <v>74</v>
      </c>
      <c r="D31" s="31" t="s">
        <v>125</v>
      </c>
      <c r="E31" s="7" t="s">
        <v>126</v>
      </c>
      <c r="F31" s="8" t="b">
        <f>TRUE()</f>
        <v>1</v>
      </c>
    </row>
    <row r="32" spans="1:6" ht="42" customHeight="1" x14ac:dyDescent="0.2">
      <c r="A32" s="31" t="s">
        <v>47</v>
      </c>
      <c r="B32" s="32" t="s">
        <v>118</v>
      </c>
      <c r="C32" s="33" t="s">
        <v>77</v>
      </c>
      <c r="D32" s="31" t="s">
        <v>127</v>
      </c>
      <c r="E32" s="7" t="s">
        <v>128</v>
      </c>
      <c r="F32" s="8" t="b">
        <f>TRUE()</f>
        <v>1</v>
      </c>
    </row>
    <row r="33" spans="1:6" ht="27.75" customHeight="1" x14ac:dyDescent="0.2">
      <c r="A33" s="31" t="s">
        <v>47</v>
      </c>
      <c r="B33" s="32" t="s">
        <v>118</v>
      </c>
      <c r="C33" s="33" t="s">
        <v>129</v>
      </c>
      <c r="D33" s="31" t="s">
        <v>130</v>
      </c>
      <c r="E33" s="7" t="s">
        <v>131</v>
      </c>
      <c r="F33" s="8" t="b">
        <f>FALSE()</f>
        <v>0</v>
      </c>
    </row>
    <row r="34" spans="1:6" ht="27.75" customHeight="1" x14ac:dyDescent="0.2">
      <c r="A34" s="31" t="s">
        <v>47</v>
      </c>
      <c r="B34" s="32" t="s">
        <v>118</v>
      </c>
      <c r="C34" s="33" t="s">
        <v>109</v>
      </c>
      <c r="D34" s="31" t="s">
        <v>132</v>
      </c>
      <c r="E34" s="7" t="s">
        <v>133</v>
      </c>
      <c r="F34" s="8" t="b">
        <f>TRUE()</f>
        <v>1</v>
      </c>
    </row>
    <row r="35" spans="1:6" ht="27.75" customHeight="1" x14ac:dyDescent="0.2">
      <c r="A35" s="31" t="s">
        <v>47</v>
      </c>
      <c r="B35" s="32" t="s">
        <v>118</v>
      </c>
      <c r="C35" s="33" t="s">
        <v>112</v>
      </c>
      <c r="D35" s="31" t="s">
        <v>134</v>
      </c>
      <c r="E35" s="7" t="s">
        <v>135</v>
      </c>
      <c r="F35" s="8" t="b">
        <f>TRUE()</f>
        <v>1</v>
      </c>
    </row>
    <row r="36" spans="1:6" ht="27.75" customHeight="1" x14ac:dyDescent="0.2">
      <c r="A36" s="31" t="s">
        <v>47</v>
      </c>
      <c r="B36" s="32" t="s">
        <v>118</v>
      </c>
      <c r="C36" s="33" t="s">
        <v>136</v>
      </c>
      <c r="D36" s="31" t="s">
        <v>137</v>
      </c>
      <c r="E36" s="7" t="s">
        <v>138</v>
      </c>
      <c r="F36" s="8" t="b">
        <f>FALSE()</f>
        <v>0</v>
      </c>
    </row>
    <row r="37" spans="1:6" x14ac:dyDescent="0.2">
      <c r="A37" s="31" t="s">
        <v>47</v>
      </c>
      <c r="B37" s="32" t="s">
        <v>118</v>
      </c>
      <c r="C37" s="33" t="s">
        <v>139</v>
      </c>
      <c r="D37" s="31" t="s">
        <v>140</v>
      </c>
      <c r="E37" s="7" t="s">
        <v>141</v>
      </c>
      <c r="F37" s="8" t="b">
        <f>FALSE()</f>
        <v>0</v>
      </c>
    </row>
    <row r="38" spans="1:6" ht="42.75" customHeight="1" x14ac:dyDescent="0.2">
      <c r="A38" s="38" t="s">
        <v>47</v>
      </c>
      <c r="B38" s="39" t="s">
        <v>142</v>
      </c>
      <c r="C38" s="47" t="s">
        <v>43</v>
      </c>
      <c r="D38" s="38" t="s">
        <v>143</v>
      </c>
      <c r="E38" s="40" t="s">
        <v>144</v>
      </c>
      <c r="F38" s="41" t="b">
        <f>FALSE()</f>
        <v>0</v>
      </c>
    </row>
    <row r="39" spans="1:6" ht="28.5" customHeight="1" x14ac:dyDescent="0.2">
      <c r="A39" s="48" t="s">
        <v>53</v>
      </c>
      <c r="B39" s="49" t="s">
        <v>145</v>
      </c>
      <c r="C39" s="50" t="s">
        <v>43</v>
      </c>
      <c r="D39" s="48" t="s">
        <v>146</v>
      </c>
      <c r="E39" s="51" t="s">
        <v>147</v>
      </c>
      <c r="F39" s="52" t="b">
        <f>FALSE()</f>
        <v>0</v>
      </c>
    </row>
    <row r="40" spans="1:6" ht="55.5" customHeight="1" x14ac:dyDescent="0.2">
      <c r="A40" s="34" t="s">
        <v>53</v>
      </c>
      <c r="B40" s="35" t="s">
        <v>148</v>
      </c>
      <c r="C40" s="46" t="s">
        <v>43</v>
      </c>
      <c r="D40" s="34" t="s">
        <v>149</v>
      </c>
      <c r="E40" s="36" t="s">
        <v>150</v>
      </c>
      <c r="F40" s="37" t="b">
        <f>TRUE()</f>
        <v>1</v>
      </c>
    </row>
    <row r="41" spans="1:6" ht="27.75" customHeight="1" x14ac:dyDescent="0.2">
      <c r="A41" s="53" t="s">
        <v>53</v>
      </c>
      <c r="B41" s="54" t="s">
        <v>151</v>
      </c>
      <c r="C41" s="55" t="s">
        <v>68</v>
      </c>
      <c r="D41" s="53" t="s">
        <v>152</v>
      </c>
      <c r="E41" s="56" t="s">
        <v>153</v>
      </c>
      <c r="F41" s="57" t="b">
        <f>TRUE()</f>
        <v>1</v>
      </c>
    </row>
    <row r="42" spans="1:6" x14ac:dyDescent="0.2">
      <c r="A42" s="31" t="s">
        <v>53</v>
      </c>
      <c r="B42" s="32" t="s">
        <v>151</v>
      </c>
      <c r="C42" s="33" t="s">
        <v>71</v>
      </c>
      <c r="D42" s="31" t="s">
        <v>154</v>
      </c>
      <c r="E42" s="7" t="s">
        <v>155</v>
      </c>
      <c r="F42" s="8" t="b">
        <v>1</v>
      </c>
    </row>
    <row r="43" spans="1:6" ht="27.75" customHeight="1" x14ac:dyDescent="0.2">
      <c r="A43" s="31" t="s">
        <v>53</v>
      </c>
      <c r="B43" s="32" t="s">
        <v>151</v>
      </c>
      <c r="C43" s="33" t="s">
        <v>74</v>
      </c>
      <c r="D43" s="31" t="s">
        <v>156</v>
      </c>
      <c r="E43" s="7" t="s">
        <v>157</v>
      </c>
      <c r="F43" s="8" t="b">
        <f>TRUE()</f>
        <v>1</v>
      </c>
    </row>
    <row r="44" spans="1:6" ht="27.75" customHeight="1" x14ac:dyDescent="0.2">
      <c r="A44" s="31" t="s">
        <v>53</v>
      </c>
      <c r="B44" s="32" t="s">
        <v>151</v>
      </c>
      <c r="C44" s="33" t="s">
        <v>129</v>
      </c>
      <c r="D44" s="31" t="s">
        <v>158</v>
      </c>
      <c r="E44" s="7" t="s">
        <v>159</v>
      </c>
      <c r="F44" s="8" t="b">
        <f>FALSE()</f>
        <v>0</v>
      </c>
    </row>
    <row r="45" spans="1:6" ht="27.75" customHeight="1" x14ac:dyDescent="0.2">
      <c r="A45" s="31" t="s">
        <v>53</v>
      </c>
      <c r="B45" s="32" t="s">
        <v>151</v>
      </c>
      <c r="C45" s="33" t="s">
        <v>109</v>
      </c>
      <c r="D45" s="31" t="s">
        <v>160</v>
      </c>
      <c r="E45" s="7" t="s">
        <v>161</v>
      </c>
      <c r="F45" s="8" t="b">
        <f>TRUE()</f>
        <v>1</v>
      </c>
    </row>
    <row r="46" spans="1:6" ht="27.75" customHeight="1" x14ac:dyDescent="0.2">
      <c r="A46" s="31" t="s">
        <v>53</v>
      </c>
      <c r="B46" s="32" t="s">
        <v>151</v>
      </c>
      <c r="C46" s="33" t="s">
        <v>112</v>
      </c>
      <c r="D46" s="31" t="s">
        <v>162</v>
      </c>
      <c r="E46" s="7" t="s">
        <v>163</v>
      </c>
      <c r="F46" s="8" t="b">
        <f>FALSE()</f>
        <v>0</v>
      </c>
    </row>
    <row r="47" spans="1:6" ht="42" customHeight="1" x14ac:dyDescent="0.2">
      <c r="A47" s="34" t="s">
        <v>56</v>
      </c>
      <c r="B47" s="35" t="s">
        <v>164</v>
      </c>
      <c r="C47" s="46" t="s">
        <v>43</v>
      </c>
      <c r="D47" s="34" t="s">
        <v>165</v>
      </c>
      <c r="E47" s="36" t="s">
        <v>166</v>
      </c>
      <c r="F47" s="37" t="b">
        <f>FALSE()</f>
        <v>0</v>
      </c>
    </row>
    <row r="48" spans="1:6" ht="27.75" customHeight="1" x14ac:dyDescent="0.2">
      <c r="A48" s="34" t="s">
        <v>56</v>
      </c>
      <c r="B48" s="35" t="s">
        <v>167</v>
      </c>
      <c r="C48" s="46" t="s">
        <v>43</v>
      </c>
      <c r="D48" s="34" t="s">
        <v>168</v>
      </c>
      <c r="E48" s="36" t="s">
        <v>169</v>
      </c>
      <c r="F48" s="37" t="b">
        <f>TRUE()</f>
        <v>1</v>
      </c>
    </row>
    <row r="49" spans="1:6" ht="27.75" customHeight="1" x14ac:dyDescent="0.2">
      <c r="A49" s="31" t="s">
        <v>56</v>
      </c>
      <c r="B49" s="32" t="s">
        <v>170</v>
      </c>
      <c r="C49" s="33" t="s">
        <v>71</v>
      </c>
      <c r="D49" s="31" t="s">
        <v>171</v>
      </c>
      <c r="E49" s="7" t="s">
        <v>172</v>
      </c>
      <c r="F49" s="8" t="b">
        <f>TRUE()</f>
        <v>1</v>
      </c>
    </row>
    <row r="50" spans="1:6" ht="27.75" customHeight="1" x14ac:dyDescent="0.2">
      <c r="A50" s="31" t="s">
        <v>56</v>
      </c>
      <c r="B50" s="32" t="s">
        <v>170</v>
      </c>
      <c r="C50" s="33" t="s">
        <v>129</v>
      </c>
      <c r="D50" s="31" t="s">
        <v>173</v>
      </c>
      <c r="E50" s="7" t="s">
        <v>174</v>
      </c>
      <c r="F50" s="8" t="b">
        <f>FALSE()</f>
        <v>0</v>
      </c>
    </row>
    <row r="51" spans="1:6" ht="27.75" customHeight="1" x14ac:dyDescent="0.2">
      <c r="A51" s="31" t="s">
        <v>56</v>
      </c>
      <c r="B51" s="32" t="s">
        <v>170</v>
      </c>
      <c r="C51" s="33" t="s">
        <v>109</v>
      </c>
      <c r="D51" s="31" t="s">
        <v>175</v>
      </c>
      <c r="E51" s="7" t="s">
        <v>176</v>
      </c>
      <c r="F51" s="8" t="b">
        <f>FALSE()</f>
        <v>0</v>
      </c>
    </row>
    <row r="52" spans="1:6" x14ac:dyDescent="0.2">
      <c r="A52" s="58" t="s">
        <v>56</v>
      </c>
      <c r="B52" s="59" t="s">
        <v>170</v>
      </c>
      <c r="C52" s="60" t="s">
        <v>112</v>
      </c>
      <c r="D52" s="58" t="s">
        <v>177</v>
      </c>
      <c r="E52" s="61" t="s">
        <v>178</v>
      </c>
      <c r="F52" s="23" t="b">
        <f>TRUE()</f>
        <v>1</v>
      </c>
    </row>
    <row r="53" spans="1:6" ht="69.75" customHeight="1" x14ac:dyDescent="0.2">
      <c r="A53" s="34" t="s">
        <v>56</v>
      </c>
      <c r="B53" s="35" t="s">
        <v>179</v>
      </c>
      <c r="C53" s="46" t="s">
        <v>43</v>
      </c>
      <c r="D53" s="34" t="s">
        <v>180</v>
      </c>
      <c r="E53" s="36" t="s">
        <v>181</v>
      </c>
      <c r="F53" s="37" t="b">
        <f>FALSE()</f>
        <v>0</v>
      </c>
    </row>
    <row r="54" spans="1:6" ht="28.5" customHeight="1" x14ac:dyDescent="0.2">
      <c r="A54" s="38" t="s">
        <v>56</v>
      </c>
      <c r="B54" s="39" t="s">
        <v>182</v>
      </c>
      <c r="C54" s="47" t="s">
        <v>43</v>
      </c>
      <c r="D54" s="38" t="s">
        <v>183</v>
      </c>
      <c r="E54" s="40" t="s">
        <v>184</v>
      </c>
      <c r="F54" s="41" t="b">
        <f>FALSE()</f>
        <v>0</v>
      </c>
    </row>
    <row r="55" spans="1:6" ht="16.5" customHeight="1" x14ac:dyDescent="0.2">
      <c r="A55" s="12"/>
      <c r="B55" s="12"/>
      <c r="C55" s="12"/>
    </row>
    <row r="56" spans="1:6" x14ac:dyDescent="0.2">
      <c r="A56" s="12"/>
      <c r="B56" s="12"/>
      <c r="C56" s="12"/>
    </row>
    <row r="57" spans="1:6" x14ac:dyDescent="0.2">
      <c r="A57" s="12"/>
      <c r="B57" s="12"/>
      <c r="C57" s="12"/>
    </row>
    <row r="58" spans="1:6" x14ac:dyDescent="0.2">
      <c r="A58" s="12"/>
      <c r="B58" s="12"/>
      <c r="C58" s="12"/>
    </row>
    <row r="59" spans="1:6" x14ac:dyDescent="0.2">
      <c r="A59" s="12"/>
      <c r="B59" s="12"/>
      <c r="C59" s="12"/>
    </row>
    <row r="60" spans="1:6" x14ac:dyDescent="0.2">
      <c r="A60" s="12"/>
      <c r="B60" s="12"/>
      <c r="C60" s="12"/>
    </row>
    <row r="61" spans="1:6" x14ac:dyDescent="0.2">
      <c r="A61" s="12"/>
      <c r="B61" s="12"/>
      <c r="C61" s="12"/>
    </row>
    <row r="62" spans="1:6" x14ac:dyDescent="0.2">
      <c r="A62" s="12"/>
      <c r="B62" s="12"/>
      <c r="C62" s="12"/>
    </row>
    <row r="63" spans="1:6" x14ac:dyDescent="0.2">
      <c r="A63" s="12"/>
      <c r="B63" s="12"/>
      <c r="C63" s="12"/>
    </row>
    <row r="64" spans="1:6" x14ac:dyDescent="0.2">
      <c r="A64" s="12"/>
      <c r="B64" s="12"/>
      <c r="C64" s="12"/>
    </row>
    <row r="65" spans="1:3" x14ac:dyDescent="0.2">
      <c r="A65" s="12"/>
      <c r="B65" s="12"/>
      <c r="C65" s="12"/>
    </row>
    <row r="66" spans="1:3" x14ac:dyDescent="0.2">
      <c r="A66" s="12"/>
      <c r="B66" s="12"/>
      <c r="C66" s="12"/>
    </row>
    <row r="67" spans="1:3" x14ac:dyDescent="0.2">
      <c r="A67" s="12"/>
      <c r="B67" s="12"/>
      <c r="C67" s="12"/>
    </row>
    <row r="68" spans="1:3" x14ac:dyDescent="0.2">
      <c r="A68" s="12"/>
      <c r="B68" s="12"/>
      <c r="C68" s="12"/>
    </row>
    <row r="69" spans="1:3" x14ac:dyDescent="0.2">
      <c r="A69" s="12"/>
      <c r="B69" s="12"/>
      <c r="C69" s="12"/>
    </row>
    <row r="70" spans="1:3" x14ac:dyDescent="0.2">
      <c r="A70" s="12"/>
      <c r="B70" s="12"/>
      <c r="C70" s="12"/>
    </row>
    <row r="71" spans="1:3" x14ac:dyDescent="0.2">
      <c r="A71" s="12"/>
      <c r="B71" s="12"/>
      <c r="C71" s="12"/>
    </row>
    <row r="72" spans="1:3" x14ac:dyDescent="0.2">
      <c r="A72" s="12"/>
      <c r="B72" s="12"/>
      <c r="C72" s="12"/>
    </row>
    <row r="73" spans="1:3" x14ac:dyDescent="0.2">
      <c r="A73" s="12"/>
      <c r="B73" s="12"/>
      <c r="C73" s="12"/>
    </row>
    <row r="74" spans="1:3" x14ac:dyDescent="0.2">
      <c r="A74" s="12"/>
      <c r="B74" s="12"/>
      <c r="C74" s="12"/>
    </row>
    <row r="75" spans="1:3" x14ac:dyDescent="0.2">
      <c r="A75" s="12"/>
      <c r="B75" s="12"/>
      <c r="C75" s="12"/>
    </row>
    <row r="76" spans="1:3" x14ac:dyDescent="0.2">
      <c r="A76" s="12"/>
      <c r="B76" s="12"/>
      <c r="C76" s="12"/>
    </row>
    <row r="77" spans="1:3" x14ac:dyDescent="0.2">
      <c r="A77" s="12"/>
      <c r="B77" s="12"/>
      <c r="C77" s="12"/>
    </row>
    <row r="78" spans="1:3" x14ac:dyDescent="0.2">
      <c r="A78" s="12"/>
      <c r="B78" s="12"/>
      <c r="C78" s="12"/>
    </row>
    <row r="79" spans="1:3" x14ac:dyDescent="0.2">
      <c r="A79" s="12"/>
      <c r="B79" s="12"/>
      <c r="C79" s="12"/>
    </row>
    <row r="80" spans="1:3" x14ac:dyDescent="0.2">
      <c r="A80" s="12"/>
      <c r="B80" s="12"/>
      <c r="C80" s="12"/>
    </row>
    <row r="81" spans="1:3" x14ac:dyDescent="0.2">
      <c r="A81" s="12"/>
      <c r="B81" s="12"/>
      <c r="C81" s="12"/>
    </row>
    <row r="82" spans="1:3" x14ac:dyDescent="0.2">
      <c r="A82" s="12"/>
      <c r="B82" s="12"/>
      <c r="C82" s="12"/>
    </row>
    <row r="83" spans="1:3" x14ac:dyDescent="0.2">
      <c r="A83" s="12"/>
      <c r="B83" s="12"/>
      <c r="C83" s="12"/>
    </row>
    <row r="84" spans="1:3" x14ac:dyDescent="0.2">
      <c r="A84" s="12"/>
      <c r="B84" s="12"/>
      <c r="C84" s="12"/>
    </row>
    <row r="85" spans="1:3" x14ac:dyDescent="0.2">
      <c r="A85" s="12"/>
      <c r="B85" s="12"/>
      <c r="C85" s="12"/>
    </row>
    <row r="86" spans="1:3" x14ac:dyDescent="0.2">
      <c r="A86" s="12"/>
      <c r="B86" s="12"/>
      <c r="C86" s="12"/>
    </row>
    <row r="87" spans="1:3" x14ac:dyDescent="0.2">
      <c r="A87" s="12"/>
      <c r="B87" s="12"/>
      <c r="C87" s="12"/>
    </row>
    <row r="88" spans="1:3" x14ac:dyDescent="0.2">
      <c r="A88" s="12"/>
      <c r="B88" s="12"/>
      <c r="C88" s="12"/>
    </row>
    <row r="89" spans="1:3" x14ac:dyDescent="0.2">
      <c r="A89" s="12"/>
      <c r="B89" s="12"/>
      <c r="C89" s="12"/>
    </row>
    <row r="90" spans="1:3" x14ac:dyDescent="0.2">
      <c r="A90" s="12"/>
      <c r="B90" s="12"/>
      <c r="C90" s="12"/>
    </row>
    <row r="91" spans="1:3" x14ac:dyDescent="0.2">
      <c r="A91" s="12"/>
      <c r="B91" s="12"/>
      <c r="C91" s="12"/>
    </row>
    <row r="92" spans="1:3" x14ac:dyDescent="0.2">
      <c r="A92" s="12"/>
      <c r="B92" s="12"/>
      <c r="C92" s="12"/>
    </row>
    <row r="93" spans="1:3" x14ac:dyDescent="0.2">
      <c r="A93" s="12"/>
      <c r="B93" s="12"/>
      <c r="C93" s="12"/>
    </row>
    <row r="94" spans="1:3" x14ac:dyDescent="0.2">
      <c r="A94" s="12"/>
      <c r="B94" s="12"/>
      <c r="C94" s="12"/>
    </row>
    <row r="95" spans="1:3" x14ac:dyDescent="0.2">
      <c r="A95" s="12"/>
      <c r="B95" s="12"/>
      <c r="C95" s="12"/>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tabSelected="1" zoomScale="144" zoomScaleNormal="144" workbookViewId="0">
      <selection activeCell="C14" sqref="C14"/>
    </sheetView>
  </sheetViews>
  <sheetFormatPr baseColWidth="10" defaultColWidth="10.5" defaultRowHeight="16" x14ac:dyDescent="0.2"/>
  <cols>
    <col min="1" max="1" width="14" customWidth="1"/>
    <col min="2" max="2" width="24" customWidth="1"/>
    <col min="3" max="3" width="62" customWidth="1"/>
    <col min="4" max="4" width="20" customWidth="1"/>
    <col min="5" max="5" width="30" customWidth="1"/>
    <col min="6" max="6" width="12" customWidth="1"/>
  </cols>
  <sheetData>
    <row r="1" spans="1:6" ht="30" customHeight="1" x14ac:dyDescent="0.2">
      <c r="A1" s="62" t="s">
        <v>185</v>
      </c>
      <c r="B1" s="62" t="s">
        <v>39</v>
      </c>
      <c r="C1" s="62" t="s">
        <v>186</v>
      </c>
      <c r="D1" s="62" t="s">
        <v>187</v>
      </c>
      <c r="E1" s="62" t="s">
        <v>188</v>
      </c>
      <c r="F1" s="62" t="s">
        <v>189</v>
      </c>
    </row>
    <row r="2" spans="1:6" ht="28" x14ac:dyDescent="0.2">
      <c r="A2" s="63" t="s">
        <v>190</v>
      </c>
      <c r="B2" s="64" t="s">
        <v>191</v>
      </c>
      <c r="C2" s="67" t="s">
        <v>256</v>
      </c>
      <c r="D2" s="12" t="s">
        <v>284</v>
      </c>
      <c r="E2" s="12" t="s">
        <v>285</v>
      </c>
      <c r="F2" s="63" t="s">
        <v>193</v>
      </c>
    </row>
    <row r="3" spans="1:6" ht="28" x14ac:dyDescent="0.2">
      <c r="A3" s="63" t="s">
        <v>194</v>
      </c>
      <c r="B3" s="64" t="s">
        <v>191</v>
      </c>
      <c r="C3" s="67" t="s">
        <v>257</v>
      </c>
      <c r="D3" s="12" t="s">
        <v>286</v>
      </c>
      <c r="E3" s="12" t="s">
        <v>287</v>
      </c>
      <c r="F3" s="63" t="s">
        <v>195</v>
      </c>
    </row>
    <row r="4" spans="1:6" x14ac:dyDescent="0.2">
      <c r="A4" s="63" t="s">
        <v>196</v>
      </c>
      <c r="B4" s="64" t="s">
        <v>191</v>
      </c>
      <c r="C4" s="67" t="s">
        <v>258</v>
      </c>
      <c r="D4" s="12" t="s">
        <v>192</v>
      </c>
      <c r="E4" s="12" t="s">
        <v>103</v>
      </c>
      <c r="F4" s="63" t="s">
        <v>197</v>
      </c>
    </row>
    <row r="5" spans="1:6" ht="28" x14ac:dyDescent="0.2">
      <c r="A5" s="63" t="s">
        <v>198</v>
      </c>
      <c r="B5" s="64" t="s">
        <v>199</v>
      </c>
      <c r="C5" s="67" t="s">
        <v>259</v>
      </c>
      <c r="D5" s="12" t="s">
        <v>200</v>
      </c>
      <c r="E5" s="12" t="s">
        <v>123</v>
      </c>
      <c r="F5" s="63" t="s">
        <v>201</v>
      </c>
    </row>
    <row r="6" spans="1:6" ht="28" x14ac:dyDescent="0.2">
      <c r="A6" s="63" t="s">
        <v>202</v>
      </c>
      <c r="B6" s="64" t="s">
        <v>199</v>
      </c>
      <c r="C6" s="67" t="s">
        <v>260</v>
      </c>
      <c r="D6" s="12" t="s">
        <v>200</v>
      </c>
      <c r="E6" s="12" t="s">
        <v>121</v>
      </c>
      <c r="F6" s="63" t="s">
        <v>203</v>
      </c>
    </row>
    <row r="7" spans="1:6" ht="28" x14ac:dyDescent="0.2">
      <c r="A7" s="63" t="s">
        <v>204</v>
      </c>
      <c r="B7" s="64" t="s">
        <v>205</v>
      </c>
      <c r="C7" s="67" t="s">
        <v>261</v>
      </c>
      <c r="D7" s="12" t="s">
        <v>43</v>
      </c>
      <c r="E7" s="12" t="s">
        <v>206</v>
      </c>
      <c r="F7" s="63" t="s">
        <v>207</v>
      </c>
    </row>
    <row r="8" spans="1:6" ht="42" x14ac:dyDescent="0.2">
      <c r="A8" s="63" t="s">
        <v>208</v>
      </c>
      <c r="B8" s="64" t="s">
        <v>205</v>
      </c>
      <c r="C8" s="64" t="s">
        <v>209</v>
      </c>
      <c r="D8" s="12" t="s">
        <v>200</v>
      </c>
      <c r="E8" s="12" t="s">
        <v>210</v>
      </c>
      <c r="F8" s="63" t="s">
        <v>211</v>
      </c>
    </row>
    <row r="9" spans="1:6" ht="28" x14ac:dyDescent="0.2">
      <c r="A9" s="63" t="s">
        <v>212</v>
      </c>
      <c r="B9" s="64" t="s">
        <v>205</v>
      </c>
      <c r="C9" s="67" t="s">
        <v>262</v>
      </c>
      <c r="D9" s="12" t="s">
        <v>200</v>
      </c>
      <c r="E9" s="12" t="s">
        <v>213</v>
      </c>
      <c r="F9" s="63" t="s">
        <v>214</v>
      </c>
    </row>
    <row r="10" spans="1:6" ht="28" x14ac:dyDescent="0.2">
      <c r="A10" s="63" t="s">
        <v>215</v>
      </c>
      <c r="B10" s="64" t="s">
        <v>216</v>
      </c>
      <c r="C10" s="67" t="s">
        <v>263</v>
      </c>
      <c r="D10" s="12" t="s">
        <v>200</v>
      </c>
      <c r="E10" s="12" t="s">
        <v>217</v>
      </c>
      <c r="F10" s="63" t="s">
        <v>218</v>
      </c>
    </row>
    <row r="11" spans="1:6" ht="28" x14ac:dyDescent="0.2">
      <c r="A11" s="63" t="s">
        <v>219</v>
      </c>
      <c r="B11" s="64" t="s">
        <v>216</v>
      </c>
      <c r="C11" s="67" t="s">
        <v>264</v>
      </c>
      <c r="D11" s="12" t="s">
        <v>43</v>
      </c>
      <c r="E11" s="12" t="s">
        <v>288</v>
      </c>
      <c r="F11" s="63" t="s">
        <v>220</v>
      </c>
    </row>
    <row r="12" spans="1:6" ht="28" x14ac:dyDescent="0.2">
      <c r="A12" s="63" t="s">
        <v>221</v>
      </c>
      <c r="B12" s="64" t="s">
        <v>222</v>
      </c>
      <c r="C12" s="64" t="s">
        <v>223</v>
      </c>
      <c r="D12" s="12" t="s">
        <v>200</v>
      </c>
      <c r="E12" s="12" t="s">
        <v>289</v>
      </c>
      <c r="F12" s="63" t="s">
        <v>224</v>
      </c>
    </row>
    <row r="13" spans="1:6" ht="28" x14ac:dyDescent="0.2">
      <c r="A13" s="63" t="s">
        <v>225</v>
      </c>
      <c r="B13" s="64" t="s">
        <v>222</v>
      </c>
      <c r="C13" s="67" t="s">
        <v>265</v>
      </c>
      <c r="D13" s="12" t="s">
        <v>290</v>
      </c>
      <c r="E13" s="12" t="s">
        <v>291</v>
      </c>
      <c r="F13" s="63" t="s">
        <v>227</v>
      </c>
    </row>
    <row r="14" spans="1:6" ht="28" x14ac:dyDescent="0.2">
      <c r="A14" s="63" t="s">
        <v>228</v>
      </c>
      <c r="B14" s="64" t="s">
        <v>222</v>
      </c>
      <c r="C14" s="67" t="s">
        <v>266</v>
      </c>
      <c r="D14" s="12" t="s">
        <v>229</v>
      </c>
      <c r="E14" s="12" t="s">
        <v>226</v>
      </c>
      <c r="F14" s="63" t="s">
        <v>230</v>
      </c>
    </row>
    <row r="15" spans="1:6" x14ac:dyDescent="0.2">
      <c r="A15" s="63" t="s">
        <v>231</v>
      </c>
      <c r="B15" s="64" t="s">
        <v>232</v>
      </c>
      <c r="C15" s="67" t="s">
        <v>267</v>
      </c>
      <c r="D15" s="12" t="s">
        <v>233</v>
      </c>
      <c r="E15" s="12" t="s">
        <v>125</v>
      </c>
      <c r="F15" s="63" t="s">
        <v>234</v>
      </c>
    </row>
    <row r="16" spans="1:6" ht="28" x14ac:dyDescent="0.2">
      <c r="A16" s="63" t="s">
        <v>235</v>
      </c>
      <c r="B16" s="64" t="s">
        <v>232</v>
      </c>
      <c r="C16" s="67" t="s">
        <v>268</v>
      </c>
      <c r="D16" s="12" t="s">
        <v>236</v>
      </c>
      <c r="E16" s="12" t="s">
        <v>127</v>
      </c>
      <c r="F16" s="63" t="s">
        <v>237</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zoomScale="150" zoomScaleNormal="150" workbookViewId="0">
      <selection activeCell="C13" sqref="C13"/>
    </sheetView>
  </sheetViews>
  <sheetFormatPr baseColWidth="10" defaultColWidth="10.5" defaultRowHeight="16" x14ac:dyDescent="0.2"/>
  <cols>
    <col min="3" max="3" width="64.33203125" customWidth="1"/>
    <col min="5" max="5" width="9.5" customWidth="1"/>
    <col min="6" max="6" width="65" customWidth="1"/>
  </cols>
  <sheetData>
    <row r="1" spans="1:6" ht="30" customHeight="1" x14ac:dyDescent="0.2">
      <c r="A1" s="65" t="s">
        <v>47</v>
      </c>
      <c r="B1" s="65" t="s">
        <v>39</v>
      </c>
      <c r="C1" s="65" t="s">
        <v>238</v>
      </c>
      <c r="D1" s="65" t="s">
        <v>187</v>
      </c>
      <c r="E1" s="65" t="s">
        <v>188</v>
      </c>
      <c r="F1" s="65" t="s">
        <v>239</v>
      </c>
    </row>
    <row r="2" spans="1:6" ht="56" x14ac:dyDescent="0.2">
      <c r="A2" s="66" t="s">
        <v>193</v>
      </c>
      <c r="B2" s="12" t="s">
        <v>191</v>
      </c>
      <c r="C2" s="12" t="s">
        <v>240</v>
      </c>
      <c r="D2" s="12" t="s">
        <v>284</v>
      </c>
      <c r="E2" s="12" t="s">
        <v>285</v>
      </c>
      <c r="F2" s="68" t="s">
        <v>269</v>
      </c>
    </row>
    <row r="3" spans="1:6" ht="27.75" customHeight="1" x14ac:dyDescent="0.2">
      <c r="A3" s="66" t="s">
        <v>195</v>
      </c>
      <c r="B3" s="12" t="s">
        <v>191</v>
      </c>
      <c r="C3" s="12" t="s">
        <v>241</v>
      </c>
      <c r="D3" s="12" t="s">
        <v>286</v>
      </c>
      <c r="E3" s="12" t="s">
        <v>287</v>
      </c>
      <c r="F3" s="68" t="s">
        <v>270</v>
      </c>
    </row>
    <row r="4" spans="1:6" ht="27.75" customHeight="1" x14ac:dyDescent="0.2">
      <c r="A4" s="66" t="s">
        <v>197</v>
      </c>
      <c r="B4" s="12" t="s">
        <v>191</v>
      </c>
      <c r="C4" s="12" t="s">
        <v>242</v>
      </c>
      <c r="D4" s="12" t="s">
        <v>192</v>
      </c>
      <c r="E4" s="12" t="s">
        <v>103</v>
      </c>
      <c r="F4" s="68" t="s">
        <v>271</v>
      </c>
    </row>
    <row r="5" spans="1:6" ht="42" customHeight="1" x14ac:dyDescent="0.2">
      <c r="A5" s="66" t="s">
        <v>201</v>
      </c>
      <c r="B5" s="12" t="s">
        <v>199</v>
      </c>
      <c r="C5" s="12" t="s">
        <v>243</v>
      </c>
      <c r="D5" s="12" t="s">
        <v>200</v>
      </c>
      <c r="E5" s="12" t="s">
        <v>123</v>
      </c>
      <c r="F5" s="68" t="s">
        <v>272</v>
      </c>
    </row>
    <row r="6" spans="1:6" ht="42" x14ac:dyDescent="0.2">
      <c r="A6" s="66" t="s">
        <v>203</v>
      </c>
      <c r="B6" s="12" t="s">
        <v>199</v>
      </c>
      <c r="C6" s="12" t="s">
        <v>244</v>
      </c>
      <c r="D6" s="12" t="s">
        <v>200</v>
      </c>
      <c r="E6" s="12" t="s">
        <v>121</v>
      </c>
      <c r="F6" s="68" t="s">
        <v>273</v>
      </c>
    </row>
    <row r="7" spans="1:6" ht="27.75" customHeight="1" x14ac:dyDescent="0.2">
      <c r="A7" s="66" t="s">
        <v>207</v>
      </c>
      <c r="B7" s="12" t="s">
        <v>245</v>
      </c>
      <c r="C7" s="12" t="s">
        <v>246</v>
      </c>
      <c r="D7" s="12" t="s">
        <v>43</v>
      </c>
      <c r="E7" s="12" t="s">
        <v>206</v>
      </c>
      <c r="F7" s="68" t="s">
        <v>274</v>
      </c>
    </row>
    <row r="8" spans="1:6" ht="42" x14ac:dyDescent="0.2">
      <c r="A8" s="66" t="s">
        <v>211</v>
      </c>
      <c r="B8" s="12" t="s">
        <v>245</v>
      </c>
      <c r="C8" s="12" t="s">
        <v>247</v>
      </c>
      <c r="D8" s="12" t="s">
        <v>200</v>
      </c>
      <c r="E8" s="12" t="s">
        <v>210</v>
      </c>
      <c r="F8" s="68" t="s">
        <v>275</v>
      </c>
    </row>
    <row r="9" spans="1:6" ht="27.75" customHeight="1" x14ac:dyDescent="0.2">
      <c r="A9" s="66" t="s">
        <v>214</v>
      </c>
      <c r="B9" s="12" t="s">
        <v>245</v>
      </c>
      <c r="C9" s="12" t="s">
        <v>248</v>
      </c>
      <c r="D9" s="12" t="s">
        <v>200</v>
      </c>
      <c r="E9" s="12" t="s">
        <v>213</v>
      </c>
      <c r="F9" s="68" t="s">
        <v>276</v>
      </c>
    </row>
    <row r="10" spans="1:6" ht="42" customHeight="1" x14ac:dyDescent="0.2">
      <c r="A10" s="66" t="s">
        <v>218</v>
      </c>
      <c r="B10" s="12" t="s">
        <v>216</v>
      </c>
      <c r="C10" s="12" t="s">
        <v>249</v>
      </c>
      <c r="D10" s="12" t="s">
        <v>200</v>
      </c>
      <c r="E10" s="12" t="s">
        <v>217</v>
      </c>
      <c r="F10" s="68" t="s">
        <v>277</v>
      </c>
    </row>
    <row r="11" spans="1:6" ht="42" x14ac:dyDescent="0.2">
      <c r="A11" s="66" t="s">
        <v>220</v>
      </c>
      <c r="B11" s="12" t="s">
        <v>216</v>
      </c>
      <c r="C11" s="12" t="s">
        <v>250</v>
      </c>
      <c r="D11" s="12" t="s">
        <v>43</v>
      </c>
      <c r="E11" s="12" t="s">
        <v>288</v>
      </c>
      <c r="F11" s="68" t="s">
        <v>278</v>
      </c>
    </row>
    <row r="12" spans="1:6" ht="27.75" customHeight="1" x14ac:dyDescent="0.2">
      <c r="A12" s="66" t="s">
        <v>224</v>
      </c>
      <c r="B12" s="12" t="s">
        <v>222</v>
      </c>
      <c r="C12" s="12" t="s">
        <v>251</v>
      </c>
      <c r="D12" s="12" t="s">
        <v>200</v>
      </c>
      <c r="E12" s="12" t="s">
        <v>289</v>
      </c>
      <c r="F12" s="68" t="s">
        <v>279</v>
      </c>
    </row>
    <row r="13" spans="1:6" ht="42" x14ac:dyDescent="0.2">
      <c r="A13" s="66" t="s">
        <v>227</v>
      </c>
      <c r="B13" s="12" t="s">
        <v>222</v>
      </c>
      <c r="C13" s="12" t="s">
        <v>252</v>
      </c>
      <c r="D13" s="12" t="s">
        <v>290</v>
      </c>
      <c r="E13" s="12" t="s">
        <v>291</v>
      </c>
      <c r="F13" s="68" t="s">
        <v>280</v>
      </c>
    </row>
    <row r="14" spans="1:6" ht="27.75" customHeight="1" x14ac:dyDescent="0.2">
      <c r="A14" s="66" t="s">
        <v>230</v>
      </c>
      <c r="B14" s="12" t="s">
        <v>222</v>
      </c>
      <c r="C14" s="12" t="s">
        <v>253</v>
      </c>
      <c r="D14" s="12" t="s">
        <v>229</v>
      </c>
      <c r="E14" s="12" t="s">
        <v>226</v>
      </c>
      <c r="F14" s="68" t="s">
        <v>281</v>
      </c>
    </row>
    <row r="15" spans="1:6" ht="27.75" customHeight="1" x14ac:dyDescent="0.2">
      <c r="A15" s="66" t="s">
        <v>234</v>
      </c>
      <c r="B15" s="12" t="s">
        <v>232</v>
      </c>
      <c r="C15" s="12" t="s">
        <v>254</v>
      </c>
      <c r="D15" s="12" t="s">
        <v>233</v>
      </c>
      <c r="E15" s="12" t="s">
        <v>125</v>
      </c>
      <c r="F15" s="68" t="s">
        <v>282</v>
      </c>
    </row>
    <row r="16" spans="1:6" ht="27.75" customHeight="1" x14ac:dyDescent="0.2">
      <c r="A16" s="66" t="s">
        <v>237</v>
      </c>
      <c r="B16" s="12" t="s">
        <v>232</v>
      </c>
      <c r="C16" s="12" t="s">
        <v>255</v>
      </c>
      <c r="D16" s="12" t="s">
        <v>236</v>
      </c>
      <c r="E16" s="12" t="s">
        <v>127</v>
      </c>
      <c r="F16" s="68" t="s">
        <v>283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ISO27005</vt:lpstr>
      <vt:lpstr>NIST CSF 2.0</vt:lpstr>
      <vt:lpstr>Requirements</vt:lpstr>
      <vt:lpstr>Competency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LEBLANC Antoine</dc:creator>
  <dc:description/>
  <cp:lastModifiedBy>LEBLANC Antoine</cp:lastModifiedBy>
  <cp:revision>0</cp:revision>
  <dcterms:created xsi:type="dcterms:W3CDTF">2026-05-18T15:19:22Z</dcterms:created>
  <dcterms:modified xsi:type="dcterms:W3CDTF">2026-05-18T16:05:13Z</dcterms:modified>
  <dc:language>en-US</dc:language>
</cp:coreProperties>
</file>